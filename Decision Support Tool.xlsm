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IEEE_ISMAR_2023\"/>
    </mc:Choice>
  </mc:AlternateContent>
  <xr:revisionPtr revIDLastSave="0" documentId="13_ncr:1_{225280B0-0C98-4AB2-BA91-21DDB93583A7}" xr6:coauthVersionLast="47" xr6:coauthVersionMax="47" xr10:uidLastSave="{00000000-0000-0000-0000-000000000000}"/>
  <bookViews>
    <workbookView xWindow="-120" yWindow="-120" windowWidth="29040" windowHeight="15840" firstSheet="1" activeTab="1" xr2:uid="{1B2740BD-74C2-4033-A40D-E94D047DB78A}"/>
  </bookViews>
  <sheets>
    <sheet name="Questionnaire" sheetId="6" state="hidden" r:id="rId1"/>
    <sheet name="Output" sheetId="7" r:id="rId2"/>
    <sheet name="High_Complexity" sheetId="8" r:id="rId3"/>
    <sheet name="Medium_Complexity" sheetId="1" r:id="rId4"/>
    <sheet name="Low_Complexity" sheetId="2" r:id="rId5"/>
    <sheet name="Analysis_Low" sheetId="3" r:id="rId6"/>
    <sheet name="Analysis_Medium" sheetId="4" r:id="rId7"/>
    <sheet name="Analysis_High" sheetId="9" r:id="rId8"/>
    <sheet name="Calculation" sheetId="5" r:id="rId9"/>
  </sheets>
  <definedNames>
    <definedName name="_xlnm._FilterDatabase" localSheetId="7" hidden="1">Analysis_High!$A$23:$K$23</definedName>
    <definedName name="_xlnm._FilterDatabase" localSheetId="5" hidden="1">Analysis_Low!$A$28:$K$28</definedName>
    <definedName name="_xlnm._FilterDatabase" localSheetId="6" hidden="1">Analysis_Medium!$A$23:$K$23</definedName>
    <definedName name="_xlnm._FilterDatabase" localSheetId="2" hidden="1">High_Complexity!$B$2:$M$2</definedName>
    <definedName name="_xlnm._FilterDatabase" localSheetId="4" hidden="1">Low_Complexity!$B$2:$K$2</definedName>
    <definedName name="_xlnm._FilterDatabase" localSheetId="3" hidden="1">Medium_Complexity!$B$2:$M$2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9" l="1"/>
  <c r="F10" i="9"/>
  <c r="G10" i="9"/>
  <c r="H10" i="9"/>
  <c r="I10" i="9"/>
  <c r="J10" i="9"/>
  <c r="K10" i="9"/>
  <c r="D10" i="9"/>
  <c r="E10" i="4"/>
  <c r="F10" i="4"/>
  <c r="G10" i="4"/>
  <c r="H10" i="4"/>
  <c r="I10" i="4"/>
  <c r="J10" i="4"/>
  <c r="K10" i="4"/>
  <c r="D10" i="4"/>
  <c r="E12" i="3"/>
  <c r="F12" i="3"/>
  <c r="G12" i="3"/>
  <c r="H12" i="3"/>
  <c r="I12" i="3"/>
  <c r="J12" i="3"/>
  <c r="K12" i="3"/>
  <c r="D12" i="3"/>
  <c r="D115" i="9"/>
  <c r="E115" i="9"/>
  <c r="F115" i="9"/>
  <c r="G115" i="9"/>
  <c r="H115" i="9"/>
  <c r="I115" i="9"/>
  <c r="J115" i="9"/>
  <c r="K115" i="9"/>
  <c r="C115" i="9"/>
  <c r="K114" i="9"/>
  <c r="D114" i="9"/>
  <c r="E114" i="9"/>
  <c r="F114" i="9"/>
  <c r="G114" i="9"/>
  <c r="H114" i="9"/>
  <c r="I114" i="9"/>
  <c r="J114" i="9"/>
  <c r="C114" i="9"/>
  <c r="C95" i="4"/>
  <c r="D95" i="4"/>
  <c r="D114" i="4" a="1"/>
  <c r="D114" i="4" s="1"/>
  <c r="E114" i="4" a="1"/>
  <c r="E114" i="4" s="1"/>
  <c r="F114" i="4" a="1"/>
  <c r="F114" i="4"/>
  <c r="G114" i="4" a="1"/>
  <c r="G114" i="4" s="1"/>
  <c r="H114" i="4" a="1"/>
  <c r="H114" i="4" s="1"/>
  <c r="I114" i="4" a="1"/>
  <c r="I114" i="4" s="1"/>
  <c r="J114" i="4" a="1"/>
  <c r="J114" i="4"/>
  <c r="K114" i="4" a="1"/>
  <c r="K114" i="4" s="1"/>
  <c r="C114" i="4" a="1"/>
  <c r="C114" i="4" s="1"/>
  <c r="C105" i="4" a="1"/>
  <c r="C105" i="4" s="1"/>
  <c r="D105" i="4" a="1"/>
  <c r="D105" i="4" s="1"/>
  <c r="E105" i="4" a="1"/>
  <c r="E105" i="4"/>
  <c r="F105" i="4" a="1"/>
  <c r="F105" i="4"/>
  <c r="G105" i="4" a="1"/>
  <c r="G105" i="4" s="1"/>
  <c r="H105" i="4" a="1"/>
  <c r="H105" i="4" s="1"/>
  <c r="I105" i="4" a="1"/>
  <c r="I105" i="4" s="1"/>
  <c r="J105" i="4" a="1"/>
  <c r="J105" i="4"/>
  <c r="K105" i="4" a="1"/>
  <c r="K105" i="4" s="1"/>
  <c r="C6" i="5"/>
  <c r="E12" i="5"/>
  <c r="E11" i="5"/>
  <c r="E10" i="5"/>
  <c r="E9" i="5"/>
  <c r="E8" i="5"/>
  <c r="E7" i="5"/>
  <c r="E6" i="5"/>
  <c r="K104" i="9" a="1"/>
  <c r="K104" i="9" s="1"/>
  <c r="J104" i="9" a="1"/>
  <c r="J104" i="9" s="1"/>
  <c r="I104" i="9" a="1"/>
  <c r="I104" i="9" s="1"/>
  <c r="H104" i="9" a="1"/>
  <c r="H104" i="9" s="1"/>
  <c r="G104" i="9" a="1"/>
  <c r="G104" i="9" s="1"/>
  <c r="F104" i="9" a="1"/>
  <c r="F104" i="9" s="1"/>
  <c r="E104" i="9" a="1"/>
  <c r="E104" i="9" s="1"/>
  <c r="D104" i="9" a="1"/>
  <c r="D104" i="9" s="1"/>
  <c r="C104" i="9" a="1"/>
  <c r="C104" i="9" s="1"/>
  <c r="K103" i="9" a="1"/>
  <c r="K103" i="9" s="1"/>
  <c r="J103" i="9" a="1"/>
  <c r="J103" i="9" s="1"/>
  <c r="I103" i="9" a="1"/>
  <c r="I103" i="9" s="1"/>
  <c r="H103" i="9" a="1"/>
  <c r="H103" i="9" s="1"/>
  <c r="G103" i="9" a="1"/>
  <c r="G103" i="9" s="1"/>
  <c r="F103" i="9" a="1"/>
  <c r="F103" i="9" s="1"/>
  <c r="E103" i="9" a="1"/>
  <c r="E103" i="9" s="1"/>
  <c r="D103" i="9" a="1"/>
  <c r="D103" i="9" s="1"/>
  <c r="C103" i="9" a="1"/>
  <c r="C103" i="9" s="1"/>
  <c r="K102" i="9" a="1"/>
  <c r="K102" i="9" s="1"/>
  <c r="J102" i="9" a="1"/>
  <c r="J102" i="9" s="1"/>
  <c r="I102" i="9" a="1"/>
  <c r="I102" i="9" s="1"/>
  <c r="H102" i="9" a="1"/>
  <c r="H102" i="9" s="1"/>
  <c r="G102" i="9" a="1"/>
  <c r="G102" i="9" s="1"/>
  <c r="F102" i="9" a="1"/>
  <c r="F102" i="9" s="1"/>
  <c r="E102" i="9" a="1"/>
  <c r="E102" i="9" s="1"/>
  <c r="D102" i="9" a="1"/>
  <c r="D102" i="9" s="1"/>
  <c r="C102" i="9" a="1"/>
  <c r="C102" i="9" s="1"/>
  <c r="K101" i="9" a="1"/>
  <c r="K101" i="9" s="1"/>
  <c r="J101" i="9" a="1"/>
  <c r="J101" i="9" s="1"/>
  <c r="I101" i="9" a="1"/>
  <c r="I101" i="9" s="1"/>
  <c r="H101" i="9" a="1"/>
  <c r="H101" i="9" s="1"/>
  <c r="G101" i="9" a="1"/>
  <c r="G101" i="9" s="1"/>
  <c r="F101" i="9" a="1"/>
  <c r="F101" i="9" s="1"/>
  <c r="E101" i="9" a="1"/>
  <c r="E101" i="9" s="1"/>
  <c r="D101" i="9" a="1"/>
  <c r="D101" i="9" s="1"/>
  <c r="C101" i="9" a="1"/>
  <c r="C101" i="9" s="1"/>
  <c r="K100" i="9" a="1"/>
  <c r="K100" i="9" s="1"/>
  <c r="J100" i="9" a="1"/>
  <c r="J100" i="9" s="1"/>
  <c r="I100" i="9" a="1"/>
  <c r="I100" i="9" s="1"/>
  <c r="H100" i="9" a="1"/>
  <c r="H100" i="9" s="1"/>
  <c r="G100" i="9" a="1"/>
  <c r="G100" i="9" s="1"/>
  <c r="F100" i="9" a="1"/>
  <c r="F100" i="9" s="1"/>
  <c r="E100" i="9" a="1"/>
  <c r="E100" i="9" s="1"/>
  <c r="D100" i="9" a="1"/>
  <c r="D100" i="9" s="1"/>
  <c r="C100" i="9" a="1"/>
  <c r="C100" i="9" s="1"/>
  <c r="K86" i="9" a="1"/>
  <c r="K86" i="9" s="1"/>
  <c r="J86" i="9" a="1"/>
  <c r="J86" i="9" s="1"/>
  <c r="I86" i="9" a="1"/>
  <c r="I86" i="9" s="1"/>
  <c r="H86" i="9" a="1"/>
  <c r="H86" i="9" s="1"/>
  <c r="G86" i="9" a="1"/>
  <c r="G86" i="9" s="1"/>
  <c r="F86" i="9" a="1"/>
  <c r="F86" i="9" s="1"/>
  <c r="E86" i="9" a="1"/>
  <c r="E86" i="9" s="1"/>
  <c r="D86" i="9" a="1"/>
  <c r="D86" i="9" s="1"/>
  <c r="C86" i="9" a="1"/>
  <c r="C86" i="9" s="1"/>
  <c r="K85" i="9" a="1"/>
  <c r="K85" i="9" s="1"/>
  <c r="J85" i="9" a="1"/>
  <c r="J85" i="9" s="1"/>
  <c r="I85" i="9" a="1"/>
  <c r="I85" i="9" s="1"/>
  <c r="H85" i="9" a="1"/>
  <c r="H85" i="9" s="1"/>
  <c r="G85" i="9" a="1"/>
  <c r="G85" i="9" s="1"/>
  <c r="F85" i="9" a="1"/>
  <c r="F85" i="9" s="1"/>
  <c r="E85" i="9" a="1"/>
  <c r="E85" i="9" s="1"/>
  <c r="D85" i="9" a="1"/>
  <c r="D85" i="9" s="1"/>
  <c r="C85" i="9" a="1"/>
  <c r="C85" i="9" s="1"/>
  <c r="K84" i="9" a="1"/>
  <c r="K84" i="9" s="1"/>
  <c r="J84" i="9" a="1"/>
  <c r="J84" i="9" s="1"/>
  <c r="I84" i="9" a="1"/>
  <c r="I84" i="9" s="1"/>
  <c r="H84" i="9" a="1"/>
  <c r="H84" i="9" s="1"/>
  <c r="G84" i="9" a="1"/>
  <c r="G84" i="9" s="1"/>
  <c r="F84" i="9" a="1"/>
  <c r="F84" i="9" s="1"/>
  <c r="E84" i="9" a="1"/>
  <c r="E84" i="9" s="1"/>
  <c r="D84" i="9" a="1"/>
  <c r="D84" i="9" s="1"/>
  <c r="C84" i="9" a="1"/>
  <c r="C84" i="9" s="1"/>
  <c r="K83" i="9" a="1"/>
  <c r="K83" i="9" s="1"/>
  <c r="J83" i="9" a="1"/>
  <c r="J83" i="9" s="1"/>
  <c r="I83" i="9" a="1"/>
  <c r="I83" i="9" s="1"/>
  <c r="H83" i="9" a="1"/>
  <c r="H83" i="9" s="1"/>
  <c r="G83" i="9" a="1"/>
  <c r="G83" i="9" s="1"/>
  <c r="F83" i="9" a="1"/>
  <c r="F83" i="9" s="1"/>
  <c r="E83" i="9" a="1"/>
  <c r="E83" i="9" s="1"/>
  <c r="D83" i="9" a="1"/>
  <c r="D83" i="9" s="1"/>
  <c r="C83" i="9" a="1"/>
  <c r="C83" i="9" s="1"/>
  <c r="K82" i="9" a="1"/>
  <c r="K82" i="9" s="1"/>
  <c r="J82" i="9" a="1"/>
  <c r="J82" i="9" s="1"/>
  <c r="I82" i="9" a="1"/>
  <c r="I82" i="9" s="1"/>
  <c r="H82" i="9" a="1"/>
  <c r="H82" i="9" s="1"/>
  <c r="G82" i="9" a="1"/>
  <c r="G82" i="9" s="1"/>
  <c r="F82" i="9" a="1"/>
  <c r="F82" i="9" s="1"/>
  <c r="E82" i="9" a="1"/>
  <c r="E82" i="9" s="1"/>
  <c r="D82" i="9" a="1"/>
  <c r="D82" i="9" s="1"/>
  <c r="C82" i="9" a="1"/>
  <c r="C82" i="9" s="1"/>
  <c r="K81" i="9" a="1"/>
  <c r="K81" i="9" s="1"/>
  <c r="J81" i="9" a="1"/>
  <c r="J81" i="9" s="1"/>
  <c r="I81" i="9" a="1"/>
  <c r="I81" i="9" s="1"/>
  <c r="H81" i="9" a="1"/>
  <c r="H81" i="9" s="1"/>
  <c r="G81" i="9" a="1"/>
  <c r="G81" i="9" s="1"/>
  <c r="F81" i="9" a="1"/>
  <c r="F81" i="9" s="1"/>
  <c r="E81" i="9" a="1"/>
  <c r="E81" i="9" s="1"/>
  <c r="D81" i="9" a="1"/>
  <c r="D81" i="9" s="1"/>
  <c r="C81" i="9" a="1"/>
  <c r="C81" i="9" s="1"/>
  <c r="K67" i="9" a="1"/>
  <c r="K67" i="9" s="1"/>
  <c r="J67" i="9" a="1"/>
  <c r="J67" i="9" s="1"/>
  <c r="I67" i="9" a="1"/>
  <c r="I67" i="9" s="1"/>
  <c r="H67" i="9" a="1"/>
  <c r="H67" i="9" s="1"/>
  <c r="G67" i="9" a="1"/>
  <c r="G67" i="9" s="1"/>
  <c r="F67" i="9" a="1"/>
  <c r="F67" i="9" s="1"/>
  <c r="E67" i="9" a="1"/>
  <c r="E67" i="9" s="1"/>
  <c r="D67" i="9" a="1"/>
  <c r="D67" i="9" s="1"/>
  <c r="C67" i="9" a="1"/>
  <c r="C67" i="9" s="1"/>
  <c r="K66" i="9" a="1"/>
  <c r="K66" i="9" s="1"/>
  <c r="J66" i="9" a="1"/>
  <c r="J66" i="9" s="1"/>
  <c r="I66" i="9" a="1"/>
  <c r="I66" i="9" s="1"/>
  <c r="H66" i="9" a="1"/>
  <c r="H66" i="9" s="1"/>
  <c r="G66" i="9" a="1"/>
  <c r="G66" i="9" s="1"/>
  <c r="F66" i="9" a="1"/>
  <c r="F66" i="9" s="1"/>
  <c r="E66" i="9" a="1"/>
  <c r="E66" i="9" s="1"/>
  <c r="D66" i="9" a="1"/>
  <c r="D66" i="9" s="1"/>
  <c r="C66" i="9" a="1"/>
  <c r="C66" i="9" s="1"/>
  <c r="K65" i="9" a="1"/>
  <c r="K65" i="9" s="1"/>
  <c r="J65" i="9" a="1"/>
  <c r="J65" i="9" s="1"/>
  <c r="I65" i="9" a="1"/>
  <c r="I65" i="9" s="1"/>
  <c r="H65" i="9" a="1"/>
  <c r="H65" i="9" s="1"/>
  <c r="G65" i="9" a="1"/>
  <c r="G65" i="9" s="1"/>
  <c r="F65" i="9" a="1"/>
  <c r="F65" i="9" s="1"/>
  <c r="E65" i="9" a="1"/>
  <c r="E65" i="9" s="1"/>
  <c r="D65" i="9" a="1"/>
  <c r="D65" i="9" s="1"/>
  <c r="C65" i="9" a="1"/>
  <c r="C65" i="9" s="1"/>
  <c r="K64" i="9" a="1"/>
  <c r="K64" i="9" s="1"/>
  <c r="J64" i="9" a="1"/>
  <c r="J64" i="9" s="1"/>
  <c r="I64" i="9" a="1"/>
  <c r="I64" i="9" s="1"/>
  <c r="H64" i="9" a="1"/>
  <c r="H64" i="9" s="1"/>
  <c r="G64" i="9" a="1"/>
  <c r="G64" i="9" s="1"/>
  <c r="F64" i="9" a="1"/>
  <c r="F64" i="9" s="1"/>
  <c r="E64" i="9" a="1"/>
  <c r="E64" i="9" s="1"/>
  <c r="D64" i="9" a="1"/>
  <c r="D64" i="9" s="1"/>
  <c r="C64" i="9" a="1"/>
  <c r="C64" i="9" s="1"/>
  <c r="K63" i="9" a="1"/>
  <c r="K63" i="9" s="1"/>
  <c r="J63" i="9" a="1"/>
  <c r="J63" i="9" s="1"/>
  <c r="I63" i="9" a="1"/>
  <c r="I63" i="9" s="1"/>
  <c r="H63" i="9" a="1"/>
  <c r="H63" i="9" s="1"/>
  <c r="G63" i="9" a="1"/>
  <c r="G63" i="9" s="1"/>
  <c r="F63" i="9" a="1"/>
  <c r="F63" i="9" s="1"/>
  <c r="E63" i="9" a="1"/>
  <c r="E63" i="9" s="1"/>
  <c r="D63" i="9" a="1"/>
  <c r="D63" i="9" s="1"/>
  <c r="C63" i="9" a="1"/>
  <c r="C63" i="9" s="1"/>
  <c r="K62" i="9" a="1"/>
  <c r="K62" i="9" s="1"/>
  <c r="J62" i="9" a="1"/>
  <c r="J62" i="9" s="1"/>
  <c r="I62" i="9" a="1"/>
  <c r="I62" i="9" s="1"/>
  <c r="H62" i="9" a="1"/>
  <c r="H62" i="9" s="1"/>
  <c r="G62" i="9" a="1"/>
  <c r="G62" i="9" s="1"/>
  <c r="F62" i="9" a="1"/>
  <c r="F62" i="9" s="1"/>
  <c r="E62" i="9" a="1"/>
  <c r="E62" i="9" s="1"/>
  <c r="D62" i="9" a="1"/>
  <c r="D62" i="9" s="1"/>
  <c r="C62" i="9" a="1"/>
  <c r="C62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A102" i="9"/>
  <c r="A101" i="9"/>
  <c r="A82" i="9"/>
  <c r="A65" i="9"/>
  <c r="A64" i="9"/>
  <c r="A63" i="9"/>
  <c r="A44" i="9"/>
  <c r="A45" i="9" s="1"/>
  <c r="A25" i="9"/>
  <c r="D12" i="5"/>
  <c r="D11" i="5"/>
  <c r="D10" i="5"/>
  <c r="D9" i="5"/>
  <c r="D8" i="5"/>
  <c r="D7" i="5"/>
  <c r="D6" i="5"/>
  <c r="C12" i="5"/>
  <c r="C11" i="5"/>
  <c r="C10" i="5"/>
  <c r="C9" i="5"/>
  <c r="C8" i="5"/>
  <c r="C7" i="5"/>
  <c r="K100" i="4" a="1"/>
  <c r="K100" i="4" s="1"/>
  <c r="K81" i="4" a="1"/>
  <c r="K81" i="4" s="1"/>
  <c r="K62" i="4" a="1"/>
  <c r="K62" i="4" s="1"/>
  <c r="K43" i="4" a="1"/>
  <c r="K43" i="4" s="1"/>
  <c r="K24" i="4" a="1"/>
  <c r="K24" i="4" s="1"/>
  <c r="J81" i="4" a="1"/>
  <c r="J81" i="4" s="1"/>
  <c r="I81" i="4" a="1"/>
  <c r="I81" i="4" s="1"/>
  <c r="H81" i="4" a="1"/>
  <c r="H81" i="4" s="1"/>
  <c r="G81" i="4" a="1"/>
  <c r="G81" i="4" s="1"/>
  <c r="F81" i="4" a="1"/>
  <c r="F81" i="4" s="1"/>
  <c r="E81" i="4" a="1"/>
  <c r="E81" i="4" s="1"/>
  <c r="D81" i="4" a="1"/>
  <c r="D81" i="4" s="1"/>
  <c r="C81" i="4" a="1"/>
  <c r="C81" i="4" s="1"/>
  <c r="J62" i="4" a="1"/>
  <c r="J62" i="4" s="1"/>
  <c r="I62" i="4" a="1"/>
  <c r="I62" i="4" s="1"/>
  <c r="H62" i="4" a="1"/>
  <c r="H62" i="4" s="1"/>
  <c r="G62" i="4" a="1"/>
  <c r="G62" i="4" s="1"/>
  <c r="F62" i="4" a="1"/>
  <c r="F62" i="4" s="1"/>
  <c r="E62" i="4" a="1"/>
  <c r="E62" i="4" s="1"/>
  <c r="D62" i="4" a="1"/>
  <c r="D62" i="4" s="1"/>
  <c r="C62" i="4" a="1"/>
  <c r="C62" i="4" s="1"/>
  <c r="J43" i="4" a="1"/>
  <c r="J43" i="4" s="1"/>
  <c r="I43" i="4" a="1"/>
  <c r="I43" i="4" s="1"/>
  <c r="H43" i="4" a="1"/>
  <c r="H43" i="4" s="1"/>
  <c r="G43" i="4" a="1"/>
  <c r="G43" i="4" s="1"/>
  <c r="F43" i="4" a="1"/>
  <c r="F43" i="4" s="1"/>
  <c r="E43" i="4" a="1"/>
  <c r="E43" i="4" s="1"/>
  <c r="D43" i="4" a="1"/>
  <c r="D43" i="4" s="1"/>
  <c r="C43" i="4" a="1"/>
  <c r="C43" i="4" s="1"/>
  <c r="J24" i="4" a="1"/>
  <c r="J24" i="4" s="1"/>
  <c r="I24" i="4" a="1"/>
  <c r="I24" i="4" s="1"/>
  <c r="H24" i="4" a="1"/>
  <c r="H24" i="4" s="1"/>
  <c r="G24" i="4" a="1"/>
  <c r="G24" i="4" s="1"/>
  <c r="F24" i="4" a="1"/>
  <c r="F24" i="4" s="1"/>
  <c r="E24" i="4" a="1"/>
  <c r="E24" i="4" s="1"/>
  <c r="D24" i="4" a="1"/>
  <c r="D24" i="4" s="1"/>
  <c r="C24" i="4" a="1"/>
  <c r="C24" i="4" s="1"/>
  <c r="A101" i="4"/>
  <c r="C101" i="4" s="1" a="1"/>
  <c r="C101" i="4" s="1"/>
  <c r="A82" i="4"/>
  <c r="J82" i="4" s="1" a="1"/>
  <c r="J82" i="4" s="1"/>
  <c r="A63" i="4"/>
  <c r="J63" i="4" s="1" a="1"/>
  <c r="J63" i="4" s="1"/>
  <c r="A44" i="4"/>
  <c r="K44" i="4" s="1" a="1"/>
  <c r="K44" i="4" s="1"/>
  <c r="A25" i="4"/>
  <c r="E25" i="4" s="1" a="1"/>
  <c r="E25" i="4" s="1"/>
  <c r="A106" i="3"/>
  <c r="J106" i="3" s="1" a="1"/>
  <c r="J106" i="3" s="1"/>
  <c r="K105" i="3" a="1"/>
  <c r="K105" i="3" s="1"/>
  <c r="J105" i="3" a="1"/>
  <c r="J105" i="3" s="1"/>
  <c r="I105" i="3" a="1"/>
  <c r="I105" i="3" s="1"/>
  <c r="H105" i="3" a="1"/>
  <c r="H105" i="3" s="1"/>
  <c r="G105" i="3" a="1"/>
  <c r="G105" i="3" s="1"/>
  <c r="F105" i="3" a="1"/>
  <c r="F105" i="3" s="1"/>
  <c r="E105" i="3" a="1"/>
  <c r="E105" i="3" s="1"/>
  <c r="D105" i="3" a="1"/>
  <c r="D105" i="3" s="1"/>
  <c r="C105" i="3" a="1"/>
  <c r="C105" i="3" s="1"/>
  <c r="A87" i="3"/>
  <c r="J87" i="3" s="1" a="1"/>
  <c r="J87" i="3" s="1"/>
  <c r="K86" i="3" a="1"/>
  <c r="K86" i="3" s="1"/>
  <c r="J86" i="3" a="1"/>
  <c r="J86" i="3" s="1"/>
  <c r="I86" i="3" a="1"/>
  <c r="I86" i="3" s="1"/>
  <c r="H86" i="3" a="1"/>
  <c r="H86" i="3" s="1"/>
  <c r="G86" i="3" a="1"/>
  <c r="G86" i="3" s="1"/>
  <c r="F86" i="3" a="1"/>
  <c r="F86" i="3" s="1"/>
  <c r="E86" i="3" a="1"/>
  <c r="E86" i="3" s="1"/>
  <c r="D86" i="3" a="1"/>
  <c r="D86" i="3" s="1"/>
  <c r="C86" i="3" a="1"/>
  <c r="C86" i="3" s="1"/>
  <c r="A68" i="3"/>
  <c r="J68" i="3" s="1" a="1"/>
  <c r="J68" i="3" s="1"/>
  <c r="K67" i="3" a="1"/>
  <c r="K67" i="3" s="1"/>
  <c r="J67" i="3" a="1"/>
  <c r="J67" i="3" s="1"/>
  <c r="I67" i="3" a="1"/>
  <c r="I67" i="3" s="1"/>
  <c r="H67" i="3" a="1"/>
  <c r="H67" i="3" s="1"/>
  <c r="G67" i="3" a="1"/>
  <c r="G67" i="3" s="1"/>
  <c r="F67" i="3" a="1"/>
  <c r="F67" i="3" s="1"/>
  <c r="E67" i="3" a="1"/>
  <c r="E67" i="3" s="1"/>
  <c r="D67" i="3" a="1"/>
  <c r="D67" i="3" s="1"/>
  <c r="C67" i="3" a="1"/>
  <c r="C67" i="3" s="1"/>
  <c r="K48" i="3" a="1"/>
  <c r="K48" i="3" s="1"/>
  <c r="J48" i="3" a="1"/>
  <c r="J48" i="3" s="1"/>
  <c r="I48" i="3" a="1"/>
  <c r="I48" i="3" s="1"/>
  <c r="H48" i="3" a="1"/>
  <c r="H48" i="3" s="1"/>
  <c r="G48" i="3" a="1"/>
  <c r="G48" i="3" s="1"/>
  <c r="F48" i="3" a="1"/>
  <c r="F48" i="3" s="1"/>
  <c r="E48" i="3" a="1"/>
  <c r="E48" i="3" s="1"/>
  <c r="D48" i="3" a="1"/>
  <c r="D48" i="3" s="1"/>
  <c r="C48" i="3" a="1"/>
  <c r="C48" i="3" s="1"/>
  <c r="A49" i="3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F61" i="3" s="1" a="1"/>
  <c r="F61" i="3" s="1"/>
  <c r="K29" i="3" a="1"/>
  <c r="K29" i="3" s="1"/>
  <c r="J29" i="3" a="1"/>
  <c r="J29" i="3" s="1"/>
  <c r="I29" i="3" a="1"/>
  <c r="I29" i="3" s="1"/>
  <c r="H29" i="3" a="1"/>
  <c r="H29" i="3" s="1"/>
  <c r="G29" i="3" a="1"/>
  <c r="G29" i="3" s="1"/>
  <c r="F29" i="3" a="1"/>
  <c r="F29" i="3" s="1"/>
  <c r="E29" i="3" a="1"/>
  <c r="E29" i="3" s="1"/>
  <c r="D29" i="3" a="1"/>
  <c r="D29" i="3" s="1"/>
  <c r="C29" i="3" a="1"/>
  <c r="C29" i="3" s="1"/>
  <c r="A30" i="3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G42" i="3" s="1" a="1"/>
  <c r="G42" i="3" s="1"/>
  <c r="A18" i="2"/>
  <c r="A23" i="2" s="1"/>
  <c r="A28" i="2" s="1"/>
  <c r="A33" i="2" s="1"/>
  <c r="A38" i="2" s="1"/>
  <c r="A43" i="2" s="1"/>
  <c r="A48" i="2" s="1"/>
  <c r="A53" i="2" s="1"/>
  <c r="A58" i="2" s="1"/>
  <c r="A63" i="2" s="1"/>
  <c r="A68" i="2" s="1"/>
  <c r="A17" i="2"/>
  <c r="A22" i="2" s="1"/>
  <c r="A27" i="2" s="1"/>
  <c r="A32" i="2" s="1"/>
  <c r="A37" i="2" s="1"/>
  <c r="A42" i="2" s="1"/>
  <c r="A47" i="2" s="1"/>
  <c r="A52" i="2" s="1"/>
  <c r="A57" i="2" s="1"/>
  <c r="A62" i="2" s="1"/>
  <c r="A67" i="2" s="1"/>
  <c r="A72" i="2" s="1"/>
  <c r="A13" i="2"/>
  <c r="A12" i="2"/>
  <c r="A11" i="2"/>
  <c r="A16" i="2" s="1"/>
  <c r="A21" i="2" s="1"/>
  <c r="A26" i="2" s="1"/>
  <c r="A31" i="2" s="1"/>
  <c r="A36" i="2" s="1"/>
  <c r="A41" i="2" s="1"/>
  <c r="A46" i="2" s="1"/>
  <c r="A51" i="2" s="1"/>
  <c r="A56" i="2" s="1"/>
  <c r="A61" i="2" s="1"/>
  <c r="A66" i="2" s="1"/>
  <c r="A71" i="2" s="1"/>
  <c r="A10" i="2"/>
  <c r="A15" i="2" s="1"/>
  <c r="A20" i="2" s="1"/>
  <c r="A25" i="2" s="1"/>
  <c r="A30" i="2" s="1"/>
  <c r="A35" i="2" s="1"/>
  <c r="A40" i="2" s="1"/>
  <c r="A45" i="2" s="1"/>
  <c r="A50" i="2" s="1"/>
  <c r="A55" i="2" s="1"/>
  <c r="A60" i="2" s="1"/>
  <c r="A65" i="2" s="1"/>
  <c r="A70" i="2" s="1"/>
  <c r="A9" i="2"/>
  <c r="A14" i="2" s="1"/>
  <c r="A19" i="2" s="1"/>
  <c r="A24" i="2" s="1"/>
  <c r="A29" i="2" s="1"/>
  <c r="A34" i="2" s="1"/>
  <c r="A39" i="2" s="1"/>
  <c r="A44" i="2" s="1"/>
  <c r="A49" i="2" s="1"/>
  <c r="A54" i="2" s="1"/>
  <c r="A59" i="2" s="1"/>
  <c r="A64" i="2" s="1"/>
  <c r="A69" i="2" s="1"/>
  <c r="A8" i="2"/>
  <c r="K106" i="3" l="1" a="1"/>
  <c r="K106" i="3" s="1"/>
  <c r="A46" i="9"/>
  <c r="A26" i="9"/>
  <c r="A83" i="9"/>
  <c r="A66" i="9"/>
  <c r="A103" i="9"/>
  <c r="J58" i="3" a="1"/>
  <c r="J58" i="3" s="1"/>
  <c r="C31" i="3" a="1"/>
  <c r="C31" i="3" s="1"/>
  <c r="H35" i="3" a="1"/>
  <c r="H35" i="3" s="1"/>
  <c r="H36" i="3" a="1"/>
  <c r="H36" i="3" s="1"/>
  <c r="I51" i="3" a="1"/>
  <c r="I51" i="3" s="1"/>
  <c r="E52" i="3" a="1"/>
  <c r="E52" i="3" s="1"/>
  <c r="J55" i="3" a="1"/>
  <c r="J55" i="3" s="1"/>
  <c r="F59" i="3" a="1"/>
  <c r="F59" i="3" s="1"/>
  <c r="C39" i="3" a="1"/>
  <c r="C39" i="3" s="1"/>
  <c r="H37" i="3" a="1"/>
  <c r="H37" i="3" s="1"/>
  <c r="C49" i="3" a="1"/>
  <c r="C49" i="3" s="1"/>
  <c r="H52" i="3" a="1"/>
  <c r="H52" i="3" s="1"/>
  <c r="D56" i="3" a="1"/>
  <c r="D56" i="3" s="1"/>
  <c r="I59" i="3" a="1"/>
  <c r="I59" i="3" s="1"/>
  <c r="E55" i="3" a="1"/>
  <c r="E55" i="3" s="1"/>
  <c r="H30" i="3" a="1"/>
  <c r="H30" i="3" s="1"/>
  <c r="H38" i="3" a="1"/>
  <c r="H38" i="3" s="1"/>
  <c r="H49" i="3" a="1"/>
  <c r="H49" i="3" s="1"/>
  <c r="D53" i="3" a="1"/>
  <c r="D53" i="3" s="1"/>
  <c r="I56" i="3" a="1"/>
  <c r="I56" i="3" s="1"/>
  <c r="E60" i="3" a="1"/>
  <c r="E60" i="3" s="1"/>
  <c r="C68" i="3" a="1"/>
  <c r="C68" i="3" s="1"/>
  <c r="H31" i="3" a="1"/>
  <c r="H31" i="3" s="1"/>
  <c r="H39" i="3" a="1"/>
  <c r="H39" i="3" s="1"/>
  <c r="K49" i="3" a="1"/>
  <c r="K49" i="3" s="1"/>
  <c r="G53" i="3" a="1"/>
  <c r="G53" i="3" s="1"/>
  <c r="C57" i="3" a="1"/>
  <c r="C57" i="3" s="1"/>
  <c r="H60" i="3" a="1"/>
  <c r="H60" i="3" s="1"/>
  <c r="C87" i="3" a="1"/>
  <c r="C87" i="3" s="1"/>
  <c r="H32" i="3" a="1"/>
  <c r="H32" i="3" s="1"/>
  <c r="H40" i="3" a="1"/>
  <c r="H40" i="3" s="1"/>
  <c r="G50" i="3" a="1"/>
  <c r="G50" i="3" s="1"/>
  <c r="C54" i="3" a="1"/>
  <c r="C54" i="3" s="1"/>
  <c r="H57" i="3" a="1"/>
  <c r="H57" i="3" s="1"/>
  <c r="D61" i="3" a="1"/>
  <c r="D61" i="3" s="1"/>
  <c r="H87" i="3" a="1"/>
  <c r="H87" i="3" s="1"/>
  <c r="H33" i="3" a="1"/>
  <c r="H33" i="3" s="1"/>
  <c r="H41" i="3" a="1"/>
  <c r="H41" i="3" s="1"/>
  <c r="J50" i="3" a="1"/>
  <c r="J50" i="3" s="1"/>
  <c r="F54" i="3" a="1"/>
  <c r="F54" i="3" s="1"/>
  <c r="K57" i="3" a="1"/>
  <c r="K57" i="3" s="1"/>
  <c r="G61" i="3" a="1"/>
  <c r="G61" i="3" s="1"/>
  <c r="H34" i="3" a="1"/>
  <c r="H34" i="3" s="1"/>
  <c r="H42" i="3" a="1"/>
  <c r="H42" i="3" s="1"/>
  <c r="F51" i="3" a="1"/>
  <c r="F51" i="3" s="1"/>
  <c r="K54" i="3" a="1"/>
  <c r="K54" i="3" s="1"/>
  <c r="G58" i="3" a="1"/>
  <c r="G58" i="3" s="1"/>
  <c r="C32" i="3" a="1"/>
  <c r="C32" i="3" s="1"/>
  <c r="C40" i="3" a="1"/>
  <c r="C40" i="3" s="1"/>
  <c r="I30" i="3" a="1"/>
  <c r="I30" i="3" s="1"/>
  <c r="I31" i="3" a="1"/>
  <c r="I31" i="3" s="1"/>
  <c r="I32" i="3" a="1"/>
  <c r="I32" i="3" s="1"/>
  <c r="I33" i="3" a="1"/>
  <c r="I33" i="3" s="1"/>
  <c r="I34" i="3" a="1"/>
  <c r="I34" i="3" s="1"/>
  <c r="I35" i="3" a="1"/>
  <c r="I35" i="3" s="1"/>
  <c r="I36" i="3" a="1"/>
  <c r="I36" i="3" s="1"/>
  <c r="I37" i="3" a="1"/>
  <c r="I37" i="3" s="1"/>
  <c r="I38" i="3" a="1"/>
  <c r="I38" i="3" s="1"/>
  <c r="I39" i="3" a="1"/>
  <c r="I39" i="3" s="1"/>
  <c r="I40" i="3" a="1"/>
  <c r="I40" i="3" s="1"/>
  <c r="I41" i="3" a="1"/>
  <c r="I41" i="3" s="1"/>
  <c r="I42" i="3" a="1"/>
  <c r="I42" i="3" s="1"/>
  <c r="D49" i="3" a="1"/>
  <c r="D49" i="3" s="1"/>
  <c r="C50" i="3" a="1"/>
  <c r="C50" i="3" s="1"/>
  <c r="K50" i="3" a="1"/>
  <c r="K50" i="3" s="1"/>
  <c r="J51" i="3" a="1"/>
  <c r="J51" i="3" s="1"/>
  <c r="I52" i="3" a="1"/>
  <c r="I52" i="3" s="1"/>
  <c r="H53" i="3" a="1"/>
  <c r="H53" i="3" s="1"/>
  <c r="G54" i="3" a="1"/>
  <c r="G54" i="3" s="1"/>
  <c r="F55" i="3" a="1"/>
  <c r="F55" i="3" s="1"/>
  <c r="E56" i="3" a="1"/>
  <c r="E56" i="3" s="1"/>
  <c r="D57" i="3" a="1"/>
  <c r="D57" i="3" s="1"/>
  <c r="C58" i="3" a="1"/>
  <c r="C58" i="3" s="1"/>
  <c r="K58" i="3" a="1"/>
  <c r="K58" i="3" s="1"/>
  <c r="J59" i="3" a="1"/>
  <c r="J59" i="3" s="1"/>
  <c r="I60" i="3" a="1"/>
  <c r="I60" i="3" s="1"/>
  <c r="H61" i="3" a="1"/>
  <c r="H61" i="3" s="1"/>
  <c r="G68" i="3" a="1"/>
  <c r="G68" i="3" s="1"/>
  <c r="K87" i="3" a="1"/>
  <c r="K87" i="3" s="1"/>
  <c r="C33" i="3" a="1"/>
  <c r="C33" i="3" s="1"/>
  <c r="C41" i="3" a="1"/>
  <c r="C41" i="3" s="1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J42" i="3" a="1"/>
  <c r="J42" i="3" s="1"/>
  <c r="E49" i="3" a="1"/>
  <c r="E49" i="3" s="1"/>
  <c r="D50" i="3" a="1"/>
  <c r="D50" i="3" s="1"/>
  <c r="C51" i="3" a="1"/>
  <c r="C51" i="3" s="1"/>
  <c r="K51" i="3" a="1"/>
  <c r="K51" i="3" s="1"/>
  <c r="J52" i="3" a="1"/>
  <c r="J52" i="3" s="1"/>
  <c r="I53" i="3" a="1"/>
  <c r="I53" i="3" s="1"/>
  <c r="H54" i="3" a="1"/>
  <c r="H54" i="3" s="1"/>
  <c r="G55" i="3" a="1"/>
  <c r="G55" i="3" s="1"/>
  <c r="F56" i="3" a="1"/>
  <c r="F56" i="3" s="1"/>
  <c r="E57" i="3" a="1"/>
  <c r="E57" i="3" s="1"/>
  <c r="D58" i="3" a="1"/>
  <c r="D58" i="3" s="1"/>
  <c r="C59" i="3" a="1"/>
  <c r="C59" i="3" s="1"/>
  <c r="K59" i="3" a="1"/>
  <c r="K59" i="3" s="1"/>
  <c r="J60" i="3" a="1"/>
  <c r="J60" i="3" s="1"/>
  <c r="I61" i="3" a="1"/>
  <c r="I61" i="3" s="1"/>
  <c r="K68" i="3" a="1"/>
  <c r="K68" i="3" s="1"/>
  <c r="A88" i="3"/>
  <c r="E88" i="3" s="1" a="1"/>
  <c r="E88" i="3" s="1"/>
  <c r="C34" i="3" a="1"/>
  <c r="C34" i="3" s="1"/>
  <c r="C42" i="3" a="1"/>
  <c r="C42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36" i="3" a="1"/>
  <c r="K36" i="3" s="1"/>
  <c r="K37" i="3" a="1"/>
  <c r="K37" i="3" s="1"/>
  <c r="K38" i="3" a="1"/>
  <c r="K38" i="3" s="1"/>
  <c r="K39" i="3" a="1"/>
  <c r="K39" i="3" s="1"/>
  <c r="K40" i="3" a="1"/>
  <c r="K40" i="3" s="1"/>
  <c r="K41" i="3" a="1"/>
  <c r="K41" i="3" s="1"/>
  <c r="K42" i="3" a="1"/>
  <c r="K42" i="3" s="1"/>
  <c r="F49" i="3" a="1"/>
  <c r="F49" i="3" s="1"/>
  <c r="E50" i="3" a="1"/>
  <c r="E50" i="3" s="1"/>
  <c r="D51" i="3" a="1"/>
  <c r="D51" i="3" s="1"/>
  <c r="C52" i="3" a="1"/>
  <c r="C52" i="3" s="1"/>
  <c r="K52" i="3" a="1"/>
  <c r="K52" i="3" s="1"/>
  <c r="J53" i="3" a="1"/>
  <c r="J53" i="3" s="1"/>
  <c r="I54" i="3" a="1"/>
  <c r="I54" i="3" s="1"/>
  <c r="H55" i="3" a="1"/>
  <c r="H55" i="3" s="1"/>
  <c r="G56" i="3" a="1"/>
  <c r="G56" i="3" s="1"/>
  <c r="F57" i="3" a="1"/>
  <c r="F57" i="3" s="1"/>
  <c r="E58" i="3" a="1"/>
  <c r="E58" i="3" s="1"/>
  <c r="D59" i="3" a="1"/>
  <c r="D59" i="3" s="1"/>
  <c r="C60" i="3" a="1"/>
  <c r="C60" i="3" s="1"/>
  <c r="K60" i="3" a="1"/>
  <c r="K60" i="3" s="1"/>
  <c r="J61" i="3" a="1"/>
  <c r="J61" i="3" s="1"/>
  <c r="C35" i="3" a="1"/>
  <c r="C35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G49" i="3" a="1"/>
  <c r="G49" i="3" s="1"/>
  <c r="F50" i="3" a="1"/>
  <c r="F50" i="3" s="1"/>
  <c r="E51" i="3" a="1"/>
  <c r="E51" i="3" s="1"/>
  <c r="D52" i="3" a="1"/>
  <c r="D52" i="3" s="1"/>
  <c r="C53" i="3" a="1"/>
  <c r="C53" i="3" s="1"/>
  <c r="K53" i="3" a="1"/>
  <c r="K53" i="3" s="1"/>
  <c r="J54" i="3" a="1"/>
  <c r="J54" i="3" s="1"/>
  <c r="I55" i="3" a="1"/>
  <c r="I55" i="3" s="1"/>
  <c r="H56" i="3" a="1"/>
  <c r="H56" i="3" s="1"/>
  <c r="G57" i="3" a="1"/>
  <c r="G57" i="3" s="1"/>
  <c r="F58" i="3" a="1"/>
  <c r="F58" i="3" s="1"/>
  <c r="E59" i="3" a="1"/>
  <c r="E59" i="3" s="1"/>
  <c r="D60" i="3" a="1"/>
  <c r="D60" i="3" s="1"/>
  <c r="C61" i="3" a="1"/>
  <c r="C61" i="3" s="1"/>
  <c r="K61" i="3" a="1"/>
  <c r="K61" i="3" s="1"/>
  <c r="C36" i="3" a="1"/>
  <c r="C36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C37" i="3" a="1"/>
  <c r="C37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I49" i="3" a="1"/>
  <c r="I49" i="3" s="1"/>
  <c r="H50" i="3" a="1"/>
  <c r="H50" i="3" s="1"/>
  <c r="G51" i="3" a="1"/>
  <c r="G51" i="3" s="1"/>
  <c r="F52" i="3" a="1"/>
  <c r="F52" i="3" s="1"/>
  <c r="E53" i="3" a="1"/>
  <c r="E53" i="3" s="1"/>
  <c r="D54" i="3" a="1"/>
  <c r="D54" i="3" s="1"/>
  <c r="C55" i="3" a="1"/>
  <c r="C55" i="3" s="1"/>
  <c r="K55" i="3" a="1"/>
  <c r="K55" i="3" s="1"/>
  <c r="J56" i="3" a="1"/>
  <c r="J56" i="3" s="1"/>
  <c r="I57" i="3" a="1"/>
  <c r="I57" i="3" s="1"/>
  <c r="H58" i="3" a="1"/>
  <c r="H58" i="3" s="1"/>
  <c r="G59" i="3" a="1"/>
  <c r="G59" i="3" s="1"/>
  <c r="F60" i="3" a="1"/>
  <c r="F60" i="3" s="1"/>
  <c r="E61" i="3" a="1"/>
  <c r="E61" i="3" s="1"/>
  <c r="D87" i="3" a="1"/>
  <c r="D87" i="3" s="1"/>
  <c r="C106" i="3" a="1"/>
  <c r="C106" i="3" s="1"/>
  <c r="C30" i="3" a="1"/>
  <c r="C30" i="3" s="1"/>
  <c r="C38" i="3" a="1"/>
  <c r="C38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J49" i="3" a="1"/>
  <c r="J49" i="3" s="1"/>
  <c r="I50" i="3" a="1"/>
  <c r="I50" i="3" s="1"/>
  <c r="H51" i="3" a="1"/>
  <c r="H51" i="3" s="1"/>
  <c r="G52" i="3" a="1"/>
  <c r="G52" i="3" s="1"/>
  <c r="F53" i="3" a="1"/>
  <c r="F53" i="3" s="1"/>
  <c r="E54" i="3" a="1"/>
  <c r="E54" i="3" s="1"/>
  <c r="D55" i="3" a="1"/>
  <c r="D55" i="3" s="1"/>
  <c r="C56" i="3" a="1"/>
  <c r="C56" i="3" s="1"/>
  <c r="K56" i="3" a="1"/>
  <c r="K56" i="3" s="1"/>
  <c r="J57" i="3" a="1"/>
  <c r="J57" i="3" s="1"/>
  <c r="I58" i="3" a="1"/>
  <c r="I58" i="3" s="1"/>
  <c r="H59" i="3" a="1"/>
  <c r="H59" i="3" s="1"/>
  <c r="G60" i="3" a="1"/>
  <c r="G60" i="3" s="1"/>
  <c r="G87" i="3" a="1"/>
  <c r="G87" i="3" s="1"/>
  <c r="G106" i="3" a="1"/>
  <c r="G106" i="3" s="1"/>
  <c r="A45" i="4"/>
  <c r="A46" i="4" s="1"/>
  <c r="K46" i="4" s="1" a="1"/>
  <c r="K46" i="4" s="1"/>
  <c r="K25" i="4" a="1"/>
  <c r="K25" i="4" s="1"/>
  <c r="F25" i="4" a="1"/>
  <c r="F25" i="4" s="1"/>
  <c r="H25" i="4" a="1"/>
  <c r="H25" i="4" s="1"/>
  <c r="G25" i="4" a="1"/>
  <c r="G25" i="4" s="1"/>
  <c r="K101" i="4" a="1"/>
  <c r="K101" i="4" s="1"/>
  <c r="A83" i="4"/>
  <c r="I25" i="4" a="1"/>
  <c r="I25" i="4" s="1"/>
  <c r="K82" i="4" a="1"/>
  <c r="K82" i="4" s="1"/>
  <c r="J25" i="4" a="1"/>
  <c r="J25" i="4" s="1"/>
  <c r="C25" i="4" a="1"/>
  <c r="C25" i="4" s="1"/>
  <c r="E63" i="4" a="1"/>
  <c r="E63" i="4" s="1"/>
  <c r="K63" i="4" a="1"/>
  <c r="K63" i="4" s="1"/>
  <c r="D25" i="4" a="1"/>
  <c r="D25" i="4" s="1"/>
  <c r="H83" i="4" a="1"/>
  <c r="H83" i="4" s="1"/>
  <c r="I82" i="4" a="1"/>
  <c r="I82" i="4" s="1"/>
  <c r="D63" i="4" a="1"/>
  <c r="D63" i="4" s="1"/>
  <c r="H82" i="4" a="1"/>
  <c r="H82" i="4" s="1"/>
  <c r="I63" i="4" a="1"/>
  <c r="I63" i="4" s="1"/>
  <c r="C63" i="4" a="1"/>
  <c r="C63" i="4" s="1"/>
  <c r="G82" i="4" a="1"/>
  <c r="G82" i="4" s="1"/>
  <c r="F82" i="4" a="1"/>
  <c r="F82" i="4" s="1"/>
  <c r="H63" i="4" a="1"/>
  <c r="H63" i="4" s="1"/>
  <c r="E82" i="4" a="1"/>
  <c r="E82" i="4" s="1"/>
  <c r="G63" i="4" a="1"/>
  <c r="G63" i="4" s="1"/>
  <c r="D82" i="4" a="1"/>
  <c r="D82" i="4" s="1"/>
  <c r="C82" i="4" a="1"/>
  <c r="C82" i="4" s="1"/>
  <c r="F63" i="4" a="1"/>
  <c r="F63" i="4" s="1"/>
  <c r="A26" i="4"/>
  <c r="A64" i="4"/>
  <c r="A84" i="4"/>
  <c r="K84" i="4" s="1" a="1"/>
  <c r="K84" i="4" s="1"/>
  <c r="A102" i="4"/>
  <c r="D106" i="3" a="1"/>
  <c r="D106" i="3" s="1"/>
  <c r="H106" i="3" a="1"/>
  <c r="H106" i="3" s="1"/>
  <c r="A107" i="3"/>
  <c r="E106" i="3" a="1"/>
  <c r="E106" i="3" s="1"/>
  <c r="I106" i="3" a="1"/>
  <c r="I106" i="3" s="1"/>
  <c r="F106" i="3" a="1"/>
  <c r="F106" i="3" s="1"/>
  <c r="E87" i="3" a="1"/>
  <c r="E87" i="3" s="1"/>
  <c r="I87" i="3" a="1"/>
  <c r="I87" i="3" s="1"/>
  <c r="F87" i="3" a="1"/>
  <c r="F87" i="3" s="1"/>
  <c r="D68" i="3" a="1"/>
  <c r="D68" i="3" s="1"/>
  <c r="H68" i="3" a="1"/>
  <c r="H68" i="3" s="1"/>
  <c r="A69" i="3"/>
  <c r="E68" i="3" a="1"/>
  <c r="E68" i="3" s="1"/>
  <c r="I68" i="3" a="1"/>
  <c r="I68" i="3" s="1"/>
  <c r="F68" i="3" a="1"/>
  <c r="F68" i="3" s="1"/>
  <c r="H88" i="3" l="1" a="1"/>
  <c r="H88" i="3" s="1"/>
  <c r="A67" i="9"/>
  <c r="A27" i="9"/>
  <c r="A104" i="9"/>
  <c r="A84" i="9"/>
  <c r="A47" i="9"/>
  <c r="K88" i="3" a="1"/>
  <c r="K88" i="3" s="1"/>
  <c r="G88" i="3" a="1"/>
  <c r="G88" i="3" s="1"/>
  <c r="F88" i="3" a="1"/>
  <c r="F88" i="3" s="1"/>
  <c r="I88" i="3" a="1"/>
  <c r="I88" i="3" s="1"/>
  <c r="J62" i="3"/>
  <c r="K4" i="3" s="1"/>
  <c r="F63" i="3"/>
  <c r="G18" i="3" s="1"/>
  <c r="G44" i="3"/>
  <c r="H21" i="3" s="1"/>
  <c r="D63" i="3"/>
  <c r="E18" i="3" s="1"/>
  <c r="I62" i="3"/>
  <c r="J4" i="3" s="1"/>
  <c r="H44" i="3"/>
  <c r="I21" i="3" s="1"/>
  <c r="E43" i="3"/>
  <c r="F7" i="3" s="1"/>
  <c r="E62" i="3"/>
  <c r="F4" i="3" s="1"/>
  <c r="H43" i="3"/>
  <c r="I7" i="3" s="1"/>
  <c r="C62" i="3"/>
  <c r="D4" i="3" s="1"/>
  <c r="H63" i="3"/>
  <c r="I18" i="3" s="1"/>
  <c r="K63" i="3"/>
  <c r="B18" i="3" s="1"/>
  <c r="D62" i="3"/>
  <c r="E4" i="3" s="1"/>
  <c r="C63" i="3"/>
  <c r="D18" i="3" s="1"/>
  <c r="F62" i="3"/>
  <c r="G4" i="3" s="1"/>
  <c r="I63" i="3"/>
  <c r="J18" i="3" s="1"/>
  <c r="E63" i="3"/>
  <c r="F18" i="3" s="1"/>
  <c r="E44" i="3"/>
  <c r="F21" i="3" s="1"/>
  <c r="G63" i="3"/>
  <c r="H18" i="3" s="1"/>
  <c r="J63" i="3"/>
  <c r="K18" i="3" s="1"/>
  <c r="F43" i="3"/>
  <c r="G7" i="3" s="1"/>
  <c r="D43" i="3"/>
  <c r="E7" i="3" s="1"/>
  <c r="C88" i="3" a="1"/>
  <c r="C88" i="3" s="1"/>
  <c r="H62" i="3"/>
  <c r="I4" i="3" s="1"/>
  <c r="A89" i="3"/>
  <c r="J88" i="3" a="1"/>
  <c r="J88" i="3" s="1"/>
  <c r="G62" i="3"/>
  <c r="H4" i="3" s="1"/>
  <c r="K62" i="3"/>
  <c r="B4" i="3" s="1"/>
  <c r="D88" i="3" a="1"/>
  <c r="D88" i="3" s="1"/>
  <c r="D44" i="3"/>
  <c r="E21" i="3" s="1"/>
  <c r="G43" i="3"/>
  <c r="H7" i="3" s="1"/>
  <c r="F44" i="3"/>
  <c r="G21" i="3" s="1"/>
  <c r="K44" i="3"/>
  <c r="B21" i="3" s="1"/>
  <c r="J44" i="3"/>
  <c r="K21" i="3" s="1"/>
  <c r="J43" i="3"/>
  <c r="K7" i="3" s="1"/>
  <c r="K43" i="3"/>
  <c r="B7" i="3" s="1"/>
  <c r="I44" i="3"/>
  <c r="J21" i="3" s="1"/>
  <c r="I43" i="3"/>
  <c r="J7" i="3" s="1"/>
  <c r="C44" i="3"/>
  <c r="D21" i="3" s="1"/>
  <c r="C43" i="3"/>
  <c r="D7" i="3" s="1"/>
  <c r="K26" i="4" a="1"/>
  <c r="K26" i="4" s="1"/>
  <c r="K45" i="4" a="1"/>
  <c r="K45" i="4" s="1"/>
  <c r="K83" i="4" a="1"/>
  <c r="K83" i="4" s="1"/>
  <c r="K64" i="4" a="1"/>
  <c r="K64" i="4" s="1"/>
  <c r="I64" i="4" a="1"/>
  <c r="I64" i="4" s="1"/>
  <c r="C102" i="4" a="1"/>
  <c r="C102" i="4" s="1"/>
  <c r="K102" i="4" a="1"/>
  <c r="K102" i="4" s="1"/>
  <c r="D83" i="4" a="1"/>
  <c r="D83" i="4" s="1"/>
  <c r="G64" i="4" a="1"/>
  <c r="G64" i="4" s="1"/>
  <c r="G84" i="4" a="1"/>
  <c r="G84" i="4" s="1"/>
  <c r="J83" i="4" a="1"/>
  <c r="J83" i="4" s="1"/>
  <c r="I44" i="4" a="1"/>
  <c r="I44" i="4" s="1"/>
  <c r="C64" i="4" a="1"/>
  <c r="C64" i="4" s="1"/>
  <c r="F83" i="4" a="1"/>
  <c r="F83" i="4" s="1"/>
  <c r="D44" i="4" a="1"/>
  <c r="D44" i="4" s="1"/>
  <c r="E44" i="4" a="1"/>
  <c r="E44" i="4" s="1"/>
  <c r="E64" i="4" a="1"/>
  <c r="E64" i="4" s="1"/>
  <c r="G83" i="4" a="1"/>
  <c r="G83" i="4" s="1"/>
  <c r="J44" i="4" a="1"/>
  <c r="J44" i="4" s="1"/>
  <c r="I83" i="4" a="1"/>
  <c r="I83" i="4" s="1"/>
  <c r="H64" i="4" a="1"/>
  <c r="H64" i="4" s="1"/>
  <c r="F44" i="4" a="1"/>
  <c r="F44" i="4" s="1"/>
  <c r="G26" i="4" a="1"/>
  <c r="G26" i="4" s="1"/>
  <c r="C44" i="4" a="1"/>
  <c r="C44" i="4" s="1"/>
  <c r="F26" i="4" a="1"/>
  <c r="F26" i="4" s="1"/>
  <c r="H45" i="4" a="1"/>
  <c r="H45" i="4" s="1"/>
  <c r="E26" i="4" a="1"/>
  <c r="E26" i="4" s="1"/>
  <c r="H84" i="4" a="1"/>
  <c r="H84" i="4" s="1"/>
  <c r="F45" i="4" a="1"/>
  <c r="F45" i="4" s="1"/>
  <c r="D26" i="4" a="1"/>
  <c r="D26" i="4" s="1"/>
  <c r="G44" i="4" a="1"/>
  <c r="G44" i="4" s="1"/>
  <c r="D45" i="4" a="1"/>
  <c r="D45" i="4" s="1"/>
  <c r="J26" i="4" a="1"/>
  <c r="J26" i="4" s="1"/>
  <c r="I26" i="4" a="1"/>
  <c r="I26" i="4" s="1"/>
  <c r="C26" i="4" a="1"/>
  <c r="C26" i="4" s="1"/>
  <c r="H44" i="4" a="1"/>
  <c r="H44" i="4" s="1"/>
  <c r="H26" i="4" a="1"/>
  <c r="H26" i="4" s="1"/>
  <c r="C83" i="4" a="1"/>
  <c r="C83" i="4" s="1"/>
  <c r="D64" i="4" a="1"/>
  <c r="D64" i="4" s="1"/>
  <c r="E83" i="4" a="1"/>
  <c r="E83" i="4" s="1"/>
  <c r="C45" i="4" a="1"/>
  <c r="C45" i="4" s="1"/>
  <c r="F64" i="4" a="1"/>
  <c r="F64" i="4" s="1"/>
  <c r="J64" i="4" a="1"/>
  <c r="J64" i="4" s="1"/>
  <c r="D84" i="4" a="1"/>
  <c r="D84" i="4" s="1"/>
  <c r="I45" i="4" a="1"/>
  <c r="I45" i="4" s="1"/>
  <c r="A103" i="4"/>
  <c r="A85" i="4"/>
  <c r="A47" i="4"/>
  <c r="K47" i="4" s="1" a="1"/>
  <c r="K47" i="4" s="1"/>
  <c r="A65" i="4"/>
  <c r="A27" i="4"/>
  <c r="K27" i="4" s="1" a="1"/>
  <c r="K27" i="4" s="1"/>
  <c r="I107" i="3" a="1"/>
  <c r="I107" i="3" s="1"/>
  <c r="E107" i="3" a="1"/>
  <c r="E107" i="3" s="1"/>
  <c r="A108" i="3"/>
  <c r="H107" i="3" a="1"/>
  <c r="H107" i="3" s="1"/>
  <c r="D107" i="3" a="1"/>
  <c r="D107" i="3" s="1"/>
  <c r="K107" i="3" a="1"/>
  <c r="K107" i="3" s="1"/>
  <c r="G107" i="3" a="1"/>
  <c r="G107" i="3" s="1"/>
  <c r="C107" i="3" a="1"/>
  <c r="C107" i="3" s="1"/>
  <c r="J107" i="3" a="1"/>
  <c r="J107" i="3" s="1"/>
  <c r="F107" i="3" a="1"/>
  <c r="F107" i="3" s="1"/>
  <c r="I69" i="3" a="1"/>
  <c r="I69" i="3" s="1"/>
  <c r="E69" i="3" a="1"/>
  <c r="E69" i="3" s="1"/>
  <c r="A70" i="3"/>
  <c r="H69" i="3" a="1"/>
  <c r="H69" i="3" s="1"/>
  <c r="D69" i="3" a="1"/>
  <c r="D69" i="3" s="1"/>
  <c r="K69" i="3" a="1"/>
  <c r="K69" i="3" s="1"/>
  <c r="G69" i="3" a="1"/>
  <c r="G69" i="3" s="1"/>
  <c r="C69" i="3" a="1"/>
  <c r="C69" i="3" s="1"/>
  <c r="J69" i="3" a="1"/>
  <c r="J69" i="3" s="1"/>
  <c r="F69" i="3" a="1"/>
  <c r="F69" i="3" s="1"/>
  <c r="A105" i="9" l="1"/>
  <c r="A85" i="9"/>
  <c r="A48" i="9"/>
  <c r="A28" i="9"/>
  <c r="A68" i="9"/>
  <c r="A90" i="3"/>
  <c r="F89" i="3" a="1"/>
  <c r="F89" i="3" s="1"/>
  <c r="J89" i="3" a="1"/>
  <c r="J89" i="3" s="1"/>
  <c r="E89" i="3" a="1"/>
  <c r="E89" i="3" s="1"/>
  <c r="C89" i="3" a="1"/>
  <c r="C89" i="3" s="1"/>
  <c r="G89" i="3" a="1"/>
  <c r="G89" i="3" s="1"/>
  <c r="D89" i="3" a="1"/>
  <c r="D89" i="3" s="1"/>
  <c r="K89" i="3" a="1"/>
  <c r="K89" i="3" s="1"/>
  <c r="H89" i="3" a="1"/>
  <c r="H89" i="3" s="1"/>
  <c r="I89" i="3" a="1"/>
  <c r="I89" i="3" s="1"/>
  <c r="K85" i="4" a="1"/>
  <c r="K85" i="4" s="1"/>
  <c r="K65" i="4" a="1"/>
  <c r="K65" i="4" s="1"/>
  <c r="H27" i="4" a="1"/>
  <c r="H27" i="4" s="1"/>
  <c r="C27" i="4" a="1"/>
  <c r="C27" i="4" s="1"/>
  <c r="H65" i="4" a="1"/>
  <c r="H65" i="4" s="1"/>
  <c r="J65" i="4" a="1"/>
  <c r="J65" i="4" s="1"/>
  <c r="J27" i="4" a="1"/>
  <c r="J27" i="4" s="1"/>
  <c r="C103" i="4" a="1"/>
  <c r="C103" i="4" s="1"/>
  <c r="K103" i="4" a="1"/>
  <c r="K103" i="4" s="1"/>
  <c r="E27" i="4" a="1"/>
  <c r="E27" i="4" s="1"/>
  <c r="G27" i="4" a="1"/>
  <c r="G27" i="4" s="1"/>
  <c r="D27" i="4" a="1"/>
  <c r="D27" i="4" s="1"/>
  <c r="F27" i="4" a="1"/>
  <c r="F27" i="4" s="1"/>
  <c r="I27" i="4" a="1"/>
  <c r="I27" i="4" s="1"/>
  <c r="D65" i="4" a="1"/>
  <c r="D65" i="4" s="1"/>
  <c r="C65" i="4" a="1"/>
  <c r="C65" i="4" s="1"/>
  <c r="E84" i="4" a="1"/>
  <c r="E84" i="4" s="1"/>
  <c r="I65" i="4" a="1"/>
  <c r="I65" i="4" s="1"/>
  <c r="C46" i="4" a="1"/>
  <c r="C46" i="4" s="1"/>
  <c r="J84" i="4" a="1"/>
  <c r="J84" i="4" s="1"/>
  <c r="G65" i="4" a="1"/>
  <c r="G65" i="4" s="1"/>
  <c r="F46" i="4" a="1"/>
  <c r="F46" i="4" s="1"/>
  <c r="D85" i="4" a="1"/>
  <c r="D85" i="4" s="1"/>
  <c r="I84" i="4" a="1"/>
  <c r="I84" i="4" s="1"/>
  <c r="E45" i="4" a="1"/>
  <c r="E45" i="4" s="1"/>
  <c r="C84" i="4" a="1"/>
  <c r="C84" i="4" s="1"/>
  <c r="G45" i="4" a="1"/>
  <c r="G45" i="4" s="1"/>
  <c r="J45" i="4" a="1"/>
  <c r="J45" i="4" s="1"/>
  <c r="I85" i="4" a="1"/>
  <c r="I85" i="4" s="1"/>
  <c r="E65" i="4" a="1"/>
  <c r="E65" i="4" s="1"/>
  <c r="F84" i="4" a="1"/>
  <c r="F84" i="4" s="1"/>
  <c r="F65" i="4" a="1"/>
  <c r="F65" i="4" s="1"/>
  <c r="F85" i="4" a="1"/>
  <c r="F85" i="4" s="1"/>
  <c r="A28" i="4"/>
  <c r="K28" i="4" s="1" a="1"/>
  <c r="K28" i="4" s="1"/>
  <c r="A104" i="4"/>
  <c r="A86" i="4"/>
  <c r="A48" i="4"/>
  <c r="K48" i="4" s="1" a="1"/>
  <c r="K48" i="4" s="1"/>
  <c r="A66" i="4"/>
  <c r="K66" i="4" s="1" a="1"/>
  <c r="K66" i="4" s="1"/>
  <c r="H108" i="3" a="1"/>
  <c r="H108" i="3" s="1"/>
  <c r="K108" i="3" a="1"/>
  <c r="K108" i="3" s="1"/>
  <c r="G108" i="3" a="1"/>
  <c r="G108" i="3" s="1"/>
  <c r="C108" i="3" a="1"/>
  <c r="C108" i="3" s="1"/>
  <c r="D108" i="3" a="1"/>
  <c r="D108" i="3" s="1"/>
  <c r="J108" i="3" a="1"/>
  <c r="J108" i="3" s="1"/>
  <c r="F108" i="3" a="1"/>
  <c r="F108" i="3" s="1"/>
  <c r="I108" i="3" a="1"/>
  <c r="I108" i="3" s="1"/>
  <c r="E108" i="3" a="1"/>
  <c r="E108" i="3" s="1"/>
  <c r="A109" i="3"/>
  <c r="J90" i="3" a="1"/>
  <c r="J90" i="3" s="1"/>
  <c r="F90" i="3" a="1"/>
  <c r="F90" i="3" s="1"/>
  <c r="I90" i="3" a="1"/>
  <c r="I90" i="3" s="1"/>
  <c r="E90" i="3" a="1"/>
  <c r="E90" i="3" s="1"/>
  <c r="A91" i="3"/>
  <c r="H90" i="3" a="1"/>
  <c r="H90" i="3" s="1"/>
  <c r="D90" i="3" a="1"/>
  <c r="D90" i="3" s="1"/>
  <c r="K90" i="3" a="1"/>
  <c r="K90" i="3" s="1"/>
  <c r="G90" i="3" a="1"/>
  <c r="G90" i="3" s="1"/>
  <c r="C90" i="3" a="1"/>
  <c r="C90" i="3" s="1"/>
  <c r="K70" i="3" a="1"/>
  <c r="K70" i="3" s="1"/>
  <c r="G70" i="3" a="1"/>
  <c r="G70" i="3" s="1"/>
  <c r="C70" i="3" a="1"/>
  <c r="C70" i="3" s="1"/>
  <c r="J70" i="3" a="1"/>
  <c r="J70" i="3" s="1"/>
  <c r="F70" i="3" a="1"/>
  <c r="F70" i="3" s="1"/>
  <c r="I70" i="3" a="1"/>
  <c r="I70" i="3" s="1"/>
  <c r="E70" i="3" a="1"/>
  <c r="E70" i="3" s="1"/>
  <c r="A71" i="3"/>
  <c r="H70" i="3" a="1"/>
  <c r="H70" i="3" s="1"/>
  <c r="D70" i="3" a="1"/>
  <c r="D70" i="3" s="1"/>
  <c r="A29" i="9" l="1"/>
  <c r="A49" i="9"/>
  <c r="A69" i="9"/>
  <c r="A86" i="9"/>
  <c r="A106" i="9"/>
  <c r="K104" i="4" a="1"/>
  <c r="K104" i="4" s="1"/>
  <c r="K86" i="4" a="1"/>
  <c r="K86" i="4" s="1"/>
  <c r="D66" i="4" a="1"/>
  <c r="D66" i="4" s="1"/>
  <c r="I66" i="4" a="1"/>
  <c r="I66" i="4" s="1"/>
  <c r="C66" i="4" a="1"/>
  <c r="C66" i="4" s="1"/>
  <c r="G66" i="4" a="1"/>
  <c r="G66" i="4" s="1"/>
  <c r="C85" i="4" a="1"/>
  <c r="C85" i="4" s="1"/>
  <c r="J85" i="4" a="1"/>
  <c r="J85" i="4" s="1"/>
  <c r="F47" i="4" a="1"/>
  <c r="F47" i="4" s="1"/>
  <c r="G47" i="4" a="1"/>
  <c r="G47" i="4" s="1"/>
  <c r="J46" i="4" a="1"/>
  <c r="J46" i="4" s="1"/>
  <c r="E85" i="4" a="1"/>
  <c r="E85" i="4" s="1"/>
  <c r="H47" i="4" a="1"/>
  <c r="H47" i="4" s="1"/>
  <c r="F66" i="4" a="1"/>
  <c r="F66" i="4" s="1"/>
  <c r="F86" i="4" a="1"/>
  <c r="F86" i="4" s="1"/>
  <c r="D28" i="4" a="1"/>
  <c r="D28" i="4" s="1"/>
  <c r="G85" i="4" a="1"/>
  <c r="G85" i="4" s="1"/>
  <c r="E66" i="4" a="1"/>
  <c r="E66" i="4" s="1"/>
  <c r="D86" i="4" a="1"/>
  <c r="D86" i="4" s="1"/>
  <c r="I28" i="4" a="1"/>
  <c r="I28" i="4" s="1"/>
  <c r="F28" i="4" a="1"/>
  <c r="F28" i="4" s="1"/>
  <c r="C28" i="4" a="1"/>
  <c r="C28" i="4" s="1"/>
  <c r="C86" i="4" a="1"/>
  <c r="C86" i="4" s="1"/>
  <c r="H46" i="4" a="1"/>
  <c r="H46" i="4" s="1"/>
  <c r="E46" i="4" a="1"/>
  <c r="E46" i="4" s="1"/>
  <c r="G28" i="4" a="1"/>
  <c r="G28" i="4" s="1"/>
  <c r="J47" i="4" a="1"/>
  <c r="J47" i="4" s="1"/>
  <c r="E28" i="4" a="1"/>
  <c r="E28" i="4" s="1"/>
  <c r="I46" i="4" a="1"/>
  <c r="I46" i="4" s="1"/>
  <c r="E86" i="4" a="1"/>
  <c r="E86" i="4" s="1"/>
  <c r="H85" i="4" a="1"/>
  <c r="H85" i="4" s="1"/>
  <c r="H66" i="4" a="1"/>
  <c r="H66" i="4" s="1"/>
  <c r="I86" i="4" a="1"/>
  <c r="I86" i="4" s="1"/>
  <c r="H28" i="4" a="1"/>
  <c r="H28" i="4" s="1"/>
  <c r="J28" i="4" a="1"/>
  <c r="J28" i="4" s="1"/>
  <c r="G46" i="4" a="1"/>
  <c r="G46" i="4" s="1"/>
  <c r="D46" i="4" a="1"/>
  <c r="D46" i="4" s="1"/>
  <c r="J66" i="4" a="1"/>
  <c r="J66" i="4" s="1"/>
  <c r="A87" i="4"/>
  <c r="A49" i="4"/>
  <c r="A29" i="4"/>
  <c r="K29" i="4" s="1" a="1"/>
  <c r="K29" i="4" s="1"/>
  <c r="A105" i="4"/>
  <c r="A67" i="4"/>
  <c r="J109" i="3" a="1"/>
  <c r="J109" i="3" s="1"/>
  <c r="F109" i="3" a="1"/>
  <c r="F109" i="3" s="1"/>
  <c r="I109" i="3" a="1"/>
  <c r="I109" i="3" s="1"/>
  <c r="E109" i="3" a="1"/>
  <c r="E109" i="3" s="1"/>
  <c r="A110" i="3"/>
  <c r="H109" i="3" a="1"/>
  <c r="H109" i="3" s="1"/>
  <c r="D109" i="3" a="1"/>
  <c r="D109" i="3" s="1"/>
  <c r="K109" i="3" a="1"/>
  <c r="K109" i="3" s="1"/>
  <c r="G109" i="3" a="1"/>
  <c r="G109" i="3" s="1"/>
  <c r="C109" i="3" a="1"/>
  <c r="C109" i="3" s="1"/>
  <c r="A92" i="3"/>
  <c r="H91" i="3" a="1"/>
  <c r="H91" i="3" s="1"/>
  <c r="D91" i="3" a="1"/>
  <c r="D91" i="3" s="1"/>
  <c r="J91" i="3" a="1"/>
  <c r="J91" i="3" s="1"/>
  <c r="K91" i="3" a="1"/>
  <c r="K91" i="3" s="1"/>
  <c r="G91" i="3" a="1"/>
  <c r="G91" i="3" s="1"/>
  <c r="C91" i="3" a="1"/>
  <c r="C91" i="3" s="1"/>
  <c r="F91" i="3" a="1"/>
  <c r="F91" i="3" s="1"/>
  <c r="I91" i="3" a="1"/>
  <c r="I91" i="3" s="1"/>
  <c r="E91" i="3" a="1"/>
  <c r="E91" i="3" s="1"/>
  <c r="J71" i="3" a="1"/>
  <c r="J71" i="3" s="1"/>
  <c r="F71" i="3" a="1"/>
  <c r="F71" i="3" s="1"/>
  <c r="I71" i="3" a="1"/>
  <c r="I71" i="3" s="1"/>
  <c r="E71" i="3" a="1"/>
  <c r="E71" i="3" s="1"/>
  <c r="A72" i="3"/>
  <c r="H71" i="3" a="1"/>
  <c r="H71" i="3" s="1"/>
  <c r="D71" i="3" a="1"/>
  <c r="D71" i="3" s="1"/>
  <c r="K71" i="3" a="1"/>
  <c r="K71" i="3" s="1"/>
  <c r="G71" i="3" a="1"/>
  <c r="G71" i="3" s="1"/>
  <c r="C71" i="3" a="1"/>
  <c r="C71" i="3" s="1"/>
  <c r="A30" i="9" l="1"/>
  <c r="A87" i="9"/>
  <c r="A70" i="9"/>
  <c r="A50" i="9"/>
  <c r="A107" i="9"/>
  <c r="K67" i="4" a="1"/>
  <c r="K67" i="4" s="1"/>
  <c r="K49" i="4" a="1"/>
  <c r="K49" i="4" s="1"/>
  <c r="K87" i="4" a="1"/>
  <c r="K87" i="4" s="1"/>
  <c r="G29" i="4" a="1"/>
  <c r="G29" i="4" s="1"/>
  <c r="D67" i="4" a="1"/>
  <c r="D67" i="4" s="1"/>
  <c r="E29" i="4" a="1"/>
  <c r="E29" i="4" s="1"/>
  <c r="E67" i="4" a="1"/>
  <c r="E67" i="4" s="1"/>
  <c r="F29" i="4" a="1"/>
  <c r="F29" i="4" s="1"/>
  <c r="H29" i="4" a="1"/>
  <c r="H29" i="4" s="1"/>
  <c r="D29" i="4" a="1"/>
  <c r="D29" i="4" s="1"/>
  <c r="I29" i="4" a="1"/>
  <c r="I29" i="4" s="1"/>
  <c r="J29" i="4" a="1"/>
  <c r="J29" i="4" s="1"/>
  <c r="G67" i="4" a="1"/>
  <c r="G67" i="4" s="1"/>
  <c r="C29" i="4" a="1"/>
  <c r="C29" i="4" s="1"/>
  <c r="D47" i="4" a="1"/>
  <c r="D47" i="4" s="1"/>
  <c r="J67" i="4" a="1"/>
  <c r="J67" i="4" s="1"/>
  <c r="J86" i="4" a="1"/>
  <c r="J86" i="4" s="1"/>
  <c r="F67" i="4" a="1"/>
  <c r="F67" i="4" s="1"/>
  <c r="C67" i="4" a="1"/>
  <c r="C67" i="4" s="1"/>
  <c r="I87" i="4" a="1"/>
  <c r="I87" i="4" s="1"/>
  <c r="I47" i="4" a="1"/>
  <c r="I47" i="4" s="1"/>
  <c r="J48" i="4" a="1"/>
  <c r="J48" i="4" s="1"/>
  <c r="H48" i="4" a="1"/>
  <c r="H48" i="4" s="1"/>
  <c r="J87" i="4" a="1"/>
  <c r="J87" i="4" s="1"/>
  <c r="I48" i="4" a="1"/>
  <c r="I48" i="4" s="1"/>
  <c r="G87" i="4" a="1"/>
  <c r="G87" i="4" s="1"/>
  <c r="G86" i="4" a="1"/>
  <c r="G86" i="4" s="1"/>
  <c r="C47" i="4" a="1"/>
  <c r="C47" i="4" s="1"/>
  <c r="D87" i="4" a="1"/>
  <c r="D87" i="4" s="1"/>
  <c r="I67" i="4" a="1"/>
  <c r="I67" i="4" s="1"/>
  <c r="H67" i="4" a="1"/>
  <c r="H67" i="4" s="1"/>
  <c r="D48" i="4" a="1"/>
  <c r="D48" i="4" s="1"/>
  <c r="C87" i="4" a="1"/>
  <c r="C87" i="4" s="1"/>
  <c r="E47" i="4" a="1"/>
  <c r="E47" i="4" s="1"/>
  <c r="H86" i="4" a="1"/>
  <c r="H86" i="4" s="1"/>
  <c r="A30" i="4"/>
  <c r="A50" i="4"/>
  <c r="A68" i="4"/>
  <c r="K68" i="4" s="1" a="1"/>
  <c r="K68" i="4" s="1"/>
  <c r="A88" i="4"/>
  <c r="A106" i="4"/>
  <c r="A111" i="3"/>
  <c r="H110" i="3" a="1"/>
  <c r="H110" i="3" s="1"/>
  <c r="D110" i="3" a="1"/>
  <c r="D110" i="3" s="1"/>
  <c r="E110" i="3" a="1"/>
  <c r="E110" i="3" s="1"/>
  <c r="I110" i="3" a="1"/>
  <c r="I110" i="3" s="1"/>
  <c r="K110" i="3" a="1"/>
  <c r="K110" i="3" s="1"/>
  <c r="G110" i="3" a="1"/>
  <c r="G110" i="3" s="1"/>
  <c r="C110" i="3" a="1"/>
  <c r="C110" i="3" s="1"/>
  <c r="J110" i="3" a="1"/>
  <c r="J110" i="3" s="1"/>
  <c r="F110" i="3" a="1"/>
  <c r="F110" i="3" s="1"/>
  <c r="K92" i="3" a="1"/>
  <c r="K92" i="3" s="1"/>
  <c r="G92" i="3" a="1"/>
  <c r="G92" i="3" s="1"/>
  <c r="C92" i="3" a="1"/>
  <c r="C92" i="3" s="1"/>
  <c r="J92" i="3" a="1"/>
  <c r="J92" i="3" s="1"/>
  <c r="F92" i="3" a="1"/>
  <c r="F92" i="3" s="1"/>
  <c r="I92" i="3" a="1"/>
  <c r="I92" i="3" s="1"/>
  <c r="E92" i="3" a="1"/>
  <c r="E92" i="3" s="1"/>
  <c r="A93" i="3"/>
  <c r="H92" i="3" a="1"/>
  <c r="H92" i="3" s="1"/>
  <c r="D92" i="3" a="1"/>
  <c r="D92" i="3" s="1"/>
  <c r="A73" i="3"/>
  <c r="H72" i="3" a="1"/>
  <c r="H72" i="3" s="1"/>
  <c r="D72" i="3" a="1"/>
  <c r="D72" i="3" s="1"/>
  <c r="K72" i="3" a="1"/>
  <c r="K72" i="3" s="1"/>
  <c r="G72" i="3" a="1"/>
  <c r="G72" i="3" s="1"/>
  <c r="C72" i="3" a="1"/>
  <c r="C72" i="3" s="1"/>
  <c r="I72" i="3" a="1"/>
  <c r="I72" i="3" s="1"/>
  <c r="J72" i="3" a="1"/>
  <c r="J72" i="3" s="1"/>
  <c r="F72" i="3" a="1"/>
  <c r="F72" i="3" s="1"/>
  <c r="E72" i="3" a="1"/>
  <c r="E72" i="3" s="1"/>
  <c r="A108" i="9" l="1"/>
  <c r="A31" i="9"/>
  <c r="A88" i="9"/>
  <c r="A51" i="9"/>
  <c r="A71" i="9"/>
  <c r="K106" i="4" a="1"/>
  <c r="K106" i="4" s="1"/>
  <c r="K30" i="4" a="1"/>
  <c r="K30" i="4" s="1"/>
  <c r="K50" i="4" a="1"/>
  <c r="K50" i="4" s="1"/>
  <c r="K88" i="4" a="1"/>
  <c r="K88" i="4" s="1"/>
  <c r="H68" i="4" a="1"/>
  <c r="H68" i="4" s="1"/>
  <c r="E68" i="4" a="1"/>
  <c r="E68" i="4" s="1"/>
  <c r="G68" i="4" a="1"/>
  <c r="G68" i="4" s="1"/>
  <c r="C49" i="4" a="1"/>
  <c r="C49" i="4" s="1"/>
  <c r="H30" i="4" a="1"/>
  <c r="H30" i="4" s="1"/>
  <c r="G48" i="4" a="1"/>
  <c r="G48" i="4" s="1"/>
  <c r="H49" i="4" a="1"/>
  <c r="H49" i="4" s="1"/>
  <c r="D30" i="4" a="1"/>
  <c r="D30" i="4" s="1"/>
  <c r="D49" i="4" a="1"/>
  <c r="D49" i="4" s="1"/>
  <c r="C48" i="4" a="1"/>
  <c r="C48" i="4" s="1"/>
  <c r="F49" i="4" a="1"/>
  <c r="F49" i="4" s="1"/>
  <c r="I68" i="4" a="1"/>
  <c r="I68" i="4" s="1"/>
  <c r="G30" i="4" a="1"/>
  <c r="G30" i="4" s="1"/>
  <c r="D88" i="4" a="1"/>
  <c r="D88" i="4" s="1"/>
  <c r="F68" i="4" a="1"/>
  <c r="F68" i="4" s="1"/>
  <c r="F88" i="4" a="1"/>
  <c r="F88" i="4" s="1"/>
  <c r="E48" i="4" a="1"/>
  <c r="E48" i="4" s="1"/>
  <c r="I30" i="4" a="1"/>
  <c r="I30" i="4" s="1"/>
  <c r="C68" i="4" a="1"/>
  <c r="C68" i="4" s="1"/>
  <c r="D68" i="4" a="1"/>
  <c r="D68" i="4" s="1"/>
  <c r="J68" i="4" a="1"/>
  <c r="J68" i="4" s="1"/>
  <c r="F30" i="4" a="1"/>
  <c r="F30" i="4" s="1"/>
  <c r="J30" i="4" a="1"/>
  <c r="J30" i="4" s="1"/>
  <c r="E87" i="4" a="1"/>
  <c r="E87" i="4" s="1"/>
  <c r="H87" i="4" a="1"/>
  <c r="H87" i="4" s="1"/>
  <c r="G88" i="4" a="1"/>
  <c r="G88" i="4" s="1"/>
  <c r="E30" i="4" a="1"/>
  <c r="E30" i="4" s="1"/>
  <c r="C30" i="4" a="1"/>
  <c r="C30" i="4" s="1"/>
  <c r="F87" i="4" a="1"/>
  <c r="F87" i="4" s="1"/>
  <c r="F48" i="4" a="1"/>
  <c r="F48" i="4" s="1"/>
  <c r="A89" i="4"/>
  <c r="K89" i="4" s="1" a="1"/>
  <c r="K89" i="4" s="1"/>
  <c r="A69" i="4"/>
  <c r="K69" i="4" s="1" a="1"/>
  <c r="K69" i="4" s="1"/>
  <c r="A107" i="4"/>
  <c r="K107" i="4" s="1" a="1"/>
  <c r="K107" i="4" s="1"/>
  <c r="A51" i="4"/>
  <c r="K51" i="4" s="1" a="1"/>
  <c r="K51" i="4" s="1"/>
  <c r="A31" i="4"/>
  <c r="K31" i="4" s="1" a="1"/>
  <c r="K31" i="4" s="1"/>
  <c r="K111" i="3" a="1"/>
  <c r="K111" i="3" s="1"/>
  <c r="G111" i="3" a="1"/>
  <c r="G111" i="3" s="1"/>
  <c r="C111" i="3" a="1"/>
  <c r="C111" i="3" s="1"/>
  <c r="J111" i="3" a="1"/>
  <c r="J111" i="3" s="1"/>
  <c r="F111" i="3" a="1"/>
  <c r="F111" i="3" s="1"/>
  <c r="I111" i="3" a="1"/>
  <c r="I111" i="3" s="1"/>
  <c r="E111" i="3" a="1"/>
  <c r="E111" i="3" s="1"/>
  <c r="A112" i="3"/>
  <c r="H111" i="3" a="1"/>
  <c r="H111" i="3" s="1"/>
  <c r="D111" i="3" a="1"/>
  <c r="D111" i="3" s="1"/>
  <c r="K93" i="3" a="1"/>
  <c r="K93" i="3" s="1"/>
  <c r="I93" i="3" a="1"/>
  <c r="I93" i="3" s="1"/>
  <c r="E93" i="3" a="1"/>
  <c r="E93" i="3" s="1"/>
  <c r="C93" i="3" a="1"/>
  <c r="C93" i="3" s="1"/>
  <c r="G93" i="3" a="1"/>
  <c r="G93" i="3" s="1"/>
  <c r="A94" i="3"/>
  <c r="H93" i="3" a="1"/>
  <c r="H93" i="3" s="1"/>
  <c r="D93" i="3" a="1"/>
  <c r="D93" i="3" s="1"/>
  <c r="J93" i="3" a="1"/>
  <c r="J93" i="3" s="1"/>
  <c r="F93" i="3" a="1"/>
  <c r="F93" i="3" s="1"/>
  <c r="K73" i="3" a="1"/>
  <c r="K73" i="3" s="1"/>
  <c r="G73" i="3" a="1"/>
  <c r="G73" i="3" s="1"/>
  <c r="C73" i="3" a="1"/>
  <c r="C73" i="3" s="1"/>
  <c r="J73" i="3" a="1"/>
  <c r="J73" i="3" s="1"/>
  <c r="F73" i="3" a="1"/>
  <c r="F73" i="3" s="1"/>
  <c r="I73" i="3" a="1"/>
  <c r="I73" i="3" s="1"/>
  <c r="E73" i="3" a="1"/>
  <c r="E73" i="3" s="1"/>
  <c r="A74" i="3"/>
  <c r="H73" i="3" a="1"/>
  <c r="H73" i="3" s="1"/>
  <c r="D73" i="3" a="1"/>
  <c r="D73" i="3" s="1"/>
  <c r="A72" i="9" l="1"/>
  <c r="A109" i="9"/>
  <c r="A52" i="9"/>
  <c r="A32" i="9"/>
  <c r="A89" i="9"/>
  <c r="F31" i="4" a="1"/>
  <c r="F31" i="4" s="1"/>
  <c r="C31" i="4" a="1"/>
  <c r="C31" i="4" s="1"/>
  <c r="I31" i="4" a="1"/>
  <c r="I31" i="4" s="1"/>
  <c r="G31" i="4" a="1"/>
  <c r="G31" i="4" s="1"/>
  <c r="D31" i="4" a="1"/>
  <c r="D31" i="4" s="1"/>
  <c r="H31" i="4" a="1"/>
  <c r="H31" i="4" s="1"/>
  <c r="I69" i="4" a="1"/>
  <c r="I69" i="4" s="1"/>
  <c r="H69" i="4" a="1"/>
  <c r="H69" i="4" s="1"/>
  <c r="E31" i="4" a="1"/>
  <c r="E31" i="4" s="1"/>
  <c r="J69" i="4" a="1"/>
  <c r="J69" i="4" s="1"/>
  <c r="J31" i="4" a="1"/>
  <c r="J31" i="4" s="1"/>
  <c r="D69" i="4" a="1"/>
  <c r="D69" i="4" s="1"/>
  <c r="I89" i="4" a="1"/>
  <c r="I89" i="4" s="1"/>
  <c r="H89" i="4" a="1"/>
  <c r="H89" i="4" s="1"/>
  <c r="I50" i="4" a="1"/>
  <c r="I50" i="4" s="1"/>
  <c r="J50" i="4" a="1"/>
  <c r="J50" i="4" s="1"/>
  <c r="I88" i="4" a="1"/>
  <c r="I88" i="4" s="1"/>
  <c r="G49" i="4" a="1"/>
  <c r="G49" i="4" s="1"/>
  <c r="C50" i="4" a="1"/>
  <c r="C50" i="4" s="1"/>
  <c r="G89" i="4" a="1"/>
  <c r="G89" i="4" s="1"/>
  <c r="C88" i="4" a="1"/>
  <c r="C88" i="4" s="1"/>
  <c r="F50" i="4" a="1"/>
  <c r="F50" i="4" s="1"/>
  <c r="J88" i="4" a="1"/>
  <c r="J88" i="4" s="1"/>
  <c r="J49" i="4" a="1"/>
  <c r="J49" i="4" s="1"/>
  <c r="E69" i="4" a="1"/>
  <c r="E69" i="4" s="1"/>
  <c r="E89" i="4" a="1"/>
  <c r="E89" i="4" s="1"/>
  <c r="G69" i="4" a="1"/>
  <c r="G69" i="4" s="1"/>
  <c r="C69" i="4" a="1"/>
  <c r="C69" i="4" s="1"/>
  <c r="E50" i="4" a="1"/>
  <c r="E50" i="4" s="1"/>
  <c r="E49" i="4" a="1"/>
  <c r="E49" i="4" s="1"/>
  <c r="D89" i="4" a="1"/>
  <c r="D89" i="4" s="1"/>
  <c r="F89" i="4" a="1"/>
  <c r="F89" i="4" s="1"/>
  <c r="F69" i="4" a="1"/>
  <c r="F69" i="4" s="1"/>
  <c r="H50" i="4" a="1"/>
  <c r="H50" i="4" s="1"/>
  <c r="I49" i="4" a="1"/>
  <c r="I49" i="4" s="1"/>
  <c r="E88" i="4" a="1"/>
  <c r="E88" i="4" s="1"/>
  <c r="A108" i="4"/>
  <c r="K108" i="4" s="1" a="1"/>
  <c r="K108" i="4" s="1"/>
  <c r="A90" i="4"/>
  <c r="A52" i="4"/>
  <c r="A32" i="4"/>
  <c r="A70" i="4"/>
  <c r="K70" i="4" s="1" a="1"/>
  <c r="K70" i="4" s="1"/>
  <c r="I112" i="3" a="1"/>
  <c r="I112" i="3" s="1"/>
  <c r="E112" i="3" a="1"/>
  <c r="E112" i="3" s="1"/>
  <c r="A113" i="3"/>
  <c r="H112" i="3" a="1"/>
  <c r="H112" i="3" s="1"/>
  <c r="D112" i="3" a="1"/>
  <c r="D112" i="3" s="1"/>
  <c r="K112" i="3" a="1"/>
  <c r="K112" i="3" s="1"/>
  <c r="G112" i="3" a="1"/>
  <c r="G112" i="3" s="1"/>
  <c r="C112" i="3" a="1"/>
  <c r="C112" i="3" s="1"/>
  <c r="J112" i="3" a="1"/>
  <c r="J112" i="3" s="1"/>
  <c r="F112" i="3" a="1"/>
  <c r="F112" i="3" s="1"/>
  <c r="A95" i="3"/>
  <c r="H94" i="3" a="1"/>
  <c r="H94" i="3" s="1"/>
  <c r="D94" i="3" a="1"/>
  <c r="D94" i="3" s="1"/>
  <c r="K94" i="3" a="1"/>
  <c r="K94" i="3" s="1"/>
  <c r="G94" i="3" a="1"/>
  <c r="G94" i="3" s="1"/>
  <c r="C94" i="3" a="1"/>
  <c r="C94" i="3" s="1"/>
  <c r="J94" i="3" a="1"/>
  <c r="J94" i="3" s="1"/>
  <c r="F94" i="3" a="1"/>
  <c r="F94" i="3" s="1"/>
  <c r="I94" i="3" a="1"/>
  <c r="I94" i="3" s="1"/>
  <c r="E94" i="3" a="1"/>
  <c r="E94" i="3" s="1"/>
  <c r="I74" i="3" a="1"/>
  <c r="I74" i="3" s="1"/>
  <c r="E74" i="3" a="1"/>
  <c r="E74" i="3" s="1"/>
  <c r="A75" i="3"/>
  <c r="H74" i="3" a="1"/>
  <c r="H74" i="3" s="1"/>
  <c r="D74" i="3" a="1"/>
  <c r="D74" i="3" s="1"/>
  <c r="K74" i="3" a="1"/>
  <c r="K74" i="3" s="1"/>
  <c r="G74" i="3" a="1"/>
  <c r="G74" i="3" s="1"/>
  <c r="C74" i="3" a="1"/>
  <c r="C74" i="3" s="1"/>
  <c r="J74" i="3" a="1"/>
  <c r="J74" i="3" s="1"/>
  <c r="F74" i="3" a="1"/>
  <c r="F74" i="3" s="1"/>
  <c r="A53" i="9" l="1"/>
  <c r="A110" i="9"/>
  <c r="A33" i="9"/>
  <c r="A73" i="9"/>
  <c r="A90" i="9"/>
  <c r="K32" i="4" a="1"/>
  <c r="K32" i="4" s="1"/>
  <c r="F70" i="4" a="1"/>
  <c r="F70" i="4" s="1"/>
  <c r="C32" i="4" a="1"/>
  <c r="C32" i="4" s="1"/>
  <c r="H70" i="4" a="1"/>
  <c r="H70" i="4" s="1"/>
  <c r="G70" i="4" a="1"/>
  <c r="G70" i="4" s="1"/>
  <c r="D70" i="4" a="1"/>
  <c r="D70" i="4" s="1"/>
  <c r="I70" i="4" a="1"/>
  <c r="I70" i="4" s="1"/>
  <c r="D32" i="4" a="1"/>
  <c r="D32" i="4" s="1"/>
  <c r="C89" i="4" a="1"/>
  <c r="C89" i="4" s="1"/>
  <c r="E70" i="4" a="1"/>
  <c r="E70" i="4" s="1"/>
  <c r="I51" i="4" a="1"/>
  <c r="I51" i="4" s="1"/>
  <c r="J32" i="4" a="1"/>
  <c r="J32" i="4" s="1"/>
  <c r="G50" i="4" a="1"/>
  <c r="G50" i="4" s="1"/>
  <c r="F32" i="4" a="1"/>
  <c r="F32" i="4" s="1"/>
  <c r="H51" i="4" a="1"/>
  <c r="H51" i="4" s="1"/>
  <c r="G32" i="4" a="1"/>
  <c r="G32" i="4" s="1"/>
  <c r="I32" i="4" a="1"/>
  <c r="I32" i="4" s="1"/>
  <c r="E32" i="4" a="1"/>
  <c r="E32" i="4" s="1"/>
  <c r="H32" i="4" a="1"/>
  <c r="H32" i="4" s="1"/>
  <c r="D50" i="4" a="1"/>
  <c r="D50" i="4" s="1"/>
  <c r="D51" i="4" a="1"/>
  <c r="D51" i="4" s="1"/>
  <c r="J89" i="4" a="1"/>
  <c r="J89" i="4" s="1"/>
  <c r="C70" i="4" a="1"/>
  <c r="C70" i="4" s="1"/>
  <c r="A33" i="4"/>
  <c r="A91" i="4"/>
  <c r="A71" i="4"/>
  <c r="A53" i="4"/>
  <c r="A109" i="4"/>
  <c r="A114" i="3"/>
  <c r="H113" i="3" a="1"/>
  <c r="H113" i="3" s="1"/>
  <c r="D113" i="3" a="1"/>
  <c r="D113" i="3" s="1"/>
  <c r="K113" i="3" a="1"/>
  <c r="K113" i="3" s="1"/>
  <c r="G113" i="3" a="1"/>
  <c r="G113" i="3" s="1"/>
  <c r="C113" i="3" a="1"/>
  <c r="C113" i="3" s="1"/>
  <c r="J113" i="3" a="1"/>
  <c r="J113" i="3" s="1"/>
  <c r="F113" i="3" a="1"/>
  <c r="F113" i="3" s="1"/>
  <c r="I113" i="3" a="1"/>
  <c r="I113" i="3" s="1"/>
  <c r="E113" i="3" a="1"/>
  <c r="E113" i="3" s="1"/>
  <c r="J95" i="3" a="1"/>
  <c r="J95" i="3" s="1"/>
  <c r="F95" i="3" a="1"/>
  <c r="F95" i="3" s="1"/>
  <c r="A96" i="3"/>
  <c r="H95" i="3" a="1"/>
  <c r="H95" i="3" s="1"/>
  <c r="I95" i="3" a="1"/>
  <c r="I95" i="3" s="1"/>
  <c r="E95" i="3" a="1"/>
  <c r="E95" i="3" s="1"/>
  <c r="D95" i="3" a="1"/>
  <c r="D95" i="3" s="1"/>
  <c r="K95" i="3" a="1"/>
  <c r="K95" i="3" s="1"/>
  <c r="G95" i="3" a="1"/>
  <c r="G95" i="3" s="1"/>
  <c r="C95" i="3" a="1"/>
  <c r="C95" i="3" s="1"/>
  <c r="A76" i="3"/>
  <c r="H75" i="3" a="1"/>
  <c r="H75" i="3" s="1"/>
  <c r="D75" i="3" a="1"/>
  <c r="D75" i="3" s="1"/>
  <c r="K75" i="3" a="1"/>
  <c r="K75" i="3" s="1"/>
  <c r="G75" i="3" a="1"/>
  <c r="G75" i="3" s="1"/>
  <c r="C75" i="3" a="1"/>
  <c r="C75" i="3" s="1"/>
  <c r="J75" i="3" a="1"/>
  <c r="J75" i="3" s="1"/>
  <c r="F75" i="3" a="1"/>
  <c r="F75" i="3" s="1"/>
  <c r="I75" i="3" a="1"/>
  <c r="I75" i="3" s="1"/>
  <c r="E75" i="3" a="1"/>
  <c r="E75" i="3" s="1"/>
  <c r="A91" i="9" l="1"/>
  <c r="A74" i="9"/>
  <c r="A34" i="9"/>
  <c r="A111" i="9"/>
  <c r="A54" i="9"/>
  <c r="A54" i="4"/>
  <c r="A34" i="4"/>
  <c r="A72" i="4"/>
  <c r="A92" i="4"/>
  <c r="A110" i="4"/>
  <c r="G114" i="3" a="1"/>
  <c r="G114" i="3" s="1"/>
  <c r="J114" i="3" a="1"/>
  <c r="J114" i="3" s="1"/>
  <c r="F114" i="3" a="1"/>
  <c r="F114" i="3" s="1"/>
  <c r="K114" i="3" a="1"/>
  <c r="K114" i="3" s="1"/>
  <c r="C114" i="3" a="1"/>
  <c r="C114" i="3" s="1"/>
  <c r="I114" i="3" a="1"/>
  <c r="I114" i="3" s="1"/>
  <c r="E114" i="3" a="1"/>
  <c r="E114" i="3" s="1"/>
  <c r="A115" i="3"/>
  <c r="H114" i="3" a="1"/>
  <c r="H114" i="3" s="1"/>
  <c r="D114" i="3" a="1"/>
  <c r="D114" i="3" s="1"/>
  <c r="I96" i="3" a="1"/>
  <c r="I96" i="3" s="1"/>
  <c r="E96" i="3" a="1"/>
  <c r="E96" i="3" s="1"/>
  <c r="A97" i="3"/>
  <c r="H96" i="3" a="1"/>
  <c r="H96" i="3" s="1"/>
  <c r="D96" i="3" a="1"/>
  <c r="D96" i="3" s="1"/>
  <c r="K96" i="3" a="1"/>
  <c r="K96" i="3" s="1"/>
  <c r="G96" i="3" a="1"/>
  <c r="G96" i="3" s="1"/>
  <c r="C96" i="3" a="1"/>
  <c r="C96" i="3" s="1"/>
  <c r="J96" i="3" a="1"/>
  <c r="J96" i="3" s="1"/>
  <c r="F96" i="3" a="1"/>
  <c r="F96" i="3" s="1"/>
  <c r="J76" i="3" a="1"/>
  <c r="J76" i="3" s="1"/>
  <c r="F76" i="3" a="1"/>
  <c r="F76" i="3" s="1"/>
  <c r="I76" i="3" a="1"/>
  <c r="I76" i="3" s="1"/>
  <c r="E76" i="3" a="1"/>
  <c r="E76" i="3" s="1"/>
  <c r="A77" i="3"/>
  <c r="H76" i="3" a="1"/>
  <c r="H76" i="3" s="1"/>
  <c r="D76" i="3" a="1"/>
  <c r="D76" i="3" s="1"/>
  <c r="K76" i="3" a="1"/>
  <c r="K76" i="3" s="1"/>
  <c r="G76" i="3" a="1"/>
  <c r="G76" i="3" s="1"/>
  <c r="C76" i="3" a="1"/>
  <c r="C76" i="3" s="1"/>
  <c r="A112" i="9" l="1"/>
  <c r="A35" i="9"/>
  <c r="A55" i="9"/>
  <c r="A92" i="9"/>
  <c r="A75" i="9"/>
  <c r="E108" i="4" a="1"/>
  <c r="E108" i="4" s="1"/>
  <c r="J103" i="4" a="1"/>
  <c r="J103" i="4" s="1"/>
  <c r="F107" i="4" a="1"/>
  <c r="F107" i="4" s="1"/>
  <c r="D101" i="4" a="1"/>
  <c r="D101" i="4" s="1"/>
  <c r="I104" i="4" a="1"/>
  <c r="I104" i="4" s="1"/>
  <c r="G106" i="4" a="1"/>
  <c r="G106" i="4" s="1"/>
  <c r="E100" i="4" a="1"/>
  <c r="E100" i="4" s="1"/>
  <c r="A73" i="4"/>
  <c r="A111" i="4"/>
  <c r="A35" i="4"/>
  <c r="A93" i="4"/>
  <c r="A55" i="4"/>
  <c r="I115" i="3" a="1"/>
  <c r="I115" i="3" s="1"/>
  <c r="E115" i="3" a="1"/>
  <c r="E115" i="3" s="1"/>
  <c r="A116" i="3"/>
  <c r="H115" i="3" a="1"/>
  <c r="H115" i="3" s="1"/>
  <c r="D115" i="3" a="1"/>
  <c r="D115" i="3" s="1"/>
  <c r="K115" i="3" a="1"/>
  <c r="K115" i="3" s="1"/>
  <c r="G115" i="3" a="1"/>
  <c r="G115" i="3" s="1"/>
  <c r="C115" i="3" a="1"/>
  <c r="C115" i="3" s="1"/>
  <c r="J115" i="3" a="1"/>
  <c r="J115" i="3" s="1"/>
  <c r="F115" i="3" a="1"/>
  <c r="F115" i="3" s="1"/>
  <c r="K97" i="3" a="1"/>
  <c r="K97" i="3" s="1"/>
  <c r="G97" i="3" a="1"/>
  <c r="G97" i="3" s="1"/>
  <c r="C97" i="3" a="1"/>
  <c r="C97" i="3" s="1"/>
  <c r="I97" i="3" a="1"/>
  <c r="I97" i="3" s="1"/>
  <c r="E97" i="3" a="1"/>
  <c r="E97" i="3" s="1"/>
  <c r="J97" i="3" a="1"/>
  <c r="J97" i="3" s="1"/>
  <c r="F97" i="3" a="1"/>
  <c r="F97" i="3" s="1"/>
  <c r="A98" i="3"/>
  <c r="H97" i="3" a="1"/>
  <c r="H97" i="3" s="1"/>
  <c r="D97" i="3" a="1"/>
  <c r="D97" i="3" s="1"/>
  <c r="I77" i="3" a="1"/>
  <c r="I77" i="3" s="1"/>
  <c r="E77" i="3" a="1"/>
  <c r="E77" i="3" s="1"/>
  <c r="A78" i="3"/>
  <c r="H77" i="3" a="1"/>
  <c r="H77" i="3" s="1"/>
  <c r="D77" i="3" a="1"/>
  <c r="D77" i="3" s="1"/>
  <c r="K77" i="3" a="1"/>
  <c r="K77" i="3" s="1"/>
  <c r="G77" i="3" a="1"/>
  <c r="G77" i="3" s="1"/>
  <c r="C77" i="3" a="1"/>
  <c r="C77" i="3" s="1"/>
  <c r="J77" i="3" a="1"/>
  <c r="J77" i="3" s="1"/>
  <c r="F77" i="3" a="1"/>
  <c r="F77" i="3" s="1"/>
  <c r="A93" i="9" l="1"/>
  <c r="A36" i="9"/>
  <c r="A56" i="9"/>
  <c r="A113" i="9"/>
  <c r="D102" i="4" a="1"/>
  <c r="D102" i="4" s="1"/>
  <c r="D104" i="4" a="1"/>
  <c r="D104" i="4" s="1"/>
  <c r="H88" i="4" a="1"/>
  <c r="H88" i="4" s="1"/>
  <c r="H101" i="4" a="1"/>
  <c r="H101" i="4" s="1"/>
  <c r="I106" i="4" a="1"/>
  <c r="I106" i="4" s="1"/>
  <c r="F104" i="4" a="1"/>
  <c r="F104" i="4" s="1"/>
  <c r="C106" i="4" a="1"/>
  <c r="C106" i="4" s="1"/>
  <c r="E103" i="4" a="1"/>
  <c r="E103" i="4" s="1"/>
  <c r="J70" i="4" a="1"/>
  <c r="J70" i="4" s="1"/>
  <c r="J108" i="4" a="1"/>
  <c r="J108" i="4" s="1"/>
  <c r="F101" i="4" a="1"/>
  <c r="F101" i="4" s="1"/>
  <c r="C100" i="4" a="1"/>
  <c r="C100" i="4" s="1"/>
  <c r="F51" i="4" a="1"/>
  <c r="F51" i="4" s="1"/>
  <c r="H102" i="4" a="1"/>
  <c r="H102" i="4" s="1"/>
  <c r="E51" i="4" a="1"/>
  <c r="E51" i="4" s="1"/>
  <c r="G51" i="4" a="1"/>
  <c r="G51" i="4" s="1"/>
  <c r="F106" i="4" a="1"/>
  <c r="F106" i="4" s="1"/>
  <c r="J51" i="4" a="1"/>
  <c r="J51" i="4" s="1"/>
  <c r="E107" i="4" a="1"/>
  <c r="E107" i="4" s="1"/>
  <c r="H103" i="4" a="1"/>
  <c r="H103" i="4" s="1"/>
  <c r="J100" i="4" a="1"/>
  <c r="J100" i="4" s="1"/>
  <c r="G100" i="4" a="1"/>
  <c r="G100" i="4" s="1"/>
  <c r="G108" i="4" a="1"/>
  <c r="G108" i="4" s="1"/>
  <c r="D107" i="4" a="1"/>
  <c r="D107" i="4" s="1"/>
  <c r="I101" i="4" a="1"/>
  <c r="I101" i="4" s="1"/>
  <c r="J107" i="4" a="1"/>
  <c r="J107" i="4" s="1"/>
  <c r="I102" i="4" a="1"/>
  <c r="I102" i="4" s="1"/>
  <c r="C51" i="4" a="1"/>
  <c r="C51" i="4" s="1"/>
  <c r="C57" i="4" s="1"/>
  <c r="C108" i="4" a="1"/>
  <c r="C108" i="4" s="1"/>
  <c r="J104" i="4" a="1"/>
  <c r="J104" i="4" s="1"/>
  <c r="J102" i="4" a="1"/>
  <c r="J102" i="4" s="1"/>
  <c r="H104" i="4" a="1"/>
  <c r="H104" i="4" s="1"/>
  <c r="H107" i="4" a="1"/>
  <c r="H107" i="4" s="1"/>
  <c r="I103" i="4" a="1"/>
  <c r="I103" i="4" s="1"/>
  <c r="D100" i="4" a="1"/>
  <c r="D100" i="4" s="1"/>
  <c r="J101" i="4" a="1"/>
  <c r="J101" i="4" s="1"/>
  <c r="F102" i="4" a="1"/>
  <c r="F102" i="4" s="1"/>
  <c r="F103" i="4" a="1"/>
  <c r="F103" i="4" s="1"/>
  <c r="F100" i="4" a="1"/>
  <c r="F100" i="4" s="1"/>
  <c r="I108" i="4" a="1"/>
  <c r="I108" i="4" s="1"/>
  <c r="G107" i="4" a="1"/>
  <c r="G107" i="4" s="1"/>
  <c r="H100" i="4" a="1"/>
  <c r="H100" i="4" s="1"/>
  <c r="J106" i="4" a="1"/>
  <c r="J106" i="4" s="1"/>
  <c r="I100" i="4" a="1"/>
  <c r="I100" i="4" s="1"/>
  <c r="D108" i="4" a="1"/>
  <c r="D108" i="4" s="1"/>
  <c r="D106" i="4" a="1"/>
  <c r="D106" i="4" s="1"/>
  <c r="G104" i="4" a="1"/>
  <c r="G104" i="4" s="1"/>
  <c r="H106" i="4" a="1"/>
  <c r="H106" i="4" s="1"/>
  <c r="E102" i="4" a="1"/>
  <c r="E102" i="4" s="1"/>
  <c r="D103" i="4" a="1"/>
  <c r="D103" i="4" s="1"/>
  <c r="I107" i="4" a="1"/>
  <c r="I107" i="4" s="1"/>
  <c r="G102" i="4" a="1"/>
  <c r="G102" i="4" s="1"/>
  <c r="G103" i="4" a="1"/>
  <c r="G103" i="4" s="1"/>
  <c r="G101" i="4" a="1"/>
  <c r="G101" i="4" s="1"/>
  <c r="E101" i="4" a="1"/>
  <c r="E101" i="4" s="1"/>
  <c r="H108" i="4" a="1"/>
  <c r="H108" i="4" s="1"/>
  <c r="E106" i="4" a="1"/>
  <c r="E106" i="4" s="1"/>
  <c r="F108" i="4" a="1"/>
  <c r="F108" i="4" s="1"/>
  <c r="C107" i="4" a="1"/>
  <c r="C107" i="4" s="1"/>
  <c r="C104" i="4" a="1"/>
  <c r="C104" i="4" s="1"/>
  <c r="E104" i="4" a="1"/>
  <c r="E104" i="4" s="1"/>
  <c r="A36" i="4"/>
  <c r="A112" i="4"/>
  <c r="A56" i="4"/>
  <c r="A74" i="4"/>
  <c r="A94" i="4"/>
  <c r="K116" i="3" a="1"/>
  <c r="K116" i="3" s="1"/>
  <c r="G116" i="3" a="1"/>
  <c r="G116" i="3" s="1"/>
  <c r="C116" i="3" a="1"/>
  <c r="C116" i="3" s="1"/>
  <c r="H116" i="3" a="1"/>
  <c r="H116" i="3" s="1"/>
  <c r="J116" i="3" a="1"/>
  <c r="J116" i="3" s="1"/>
  <c r="F116" i="3" a="1"/>
  <c r="F116" i="3" s="1"/>
  <c r="A117" i="3"/>
  <c r="I116" i="3" a="1"/>
  <c r="I116" i="3" s="1"/>
  <c r="E116" i="3" a="1"/>
  <c r="E116" i="3" s="1"/>
  <c r="D116" i="3" a="1"/>
  <c r="D116" i="3" s="1"/>
  <c r="J98" i="3" a="1"/>
  <c r="J98" i="3" s="1"/>
  <c r="F98" i="3" a="1"/>
  <c r="F98" i="3" s="1"/>
  <c r="I98" i="3" a="1"/>
  <c r="I98" i="3" s="1"/>
  <c r="E98" i="3" a="1"/>
  <c r="E98" i="3" s="1"/>
  <c r="A99" i="3"/>
  <c r="H98" i="3" a="1"/>
  <c r="H98" i="3" s="1"/>
  <c r="D98" i="3" a="1"/>
  <c r="D98" i="3" s="1"/>
  <c r="K98" i="3" a="1"/>
  <c r="K98" i="3" s="1"/>
  <c r="G98" i="3" a="1"/>
  <c r="G98" i="3" s="1"/>
  <c r="C98" i="3" a="1"/>
  <c r="C98" i="3" s="1"/>
  <c r="K78" i="3" a="1"/>
  <c r="K78" i="3" s="1"/>
  <c r="G78" i="3" a="1"/>
  <c r="G78" i="3" s="1"/>
  <c r="C78" i="3" a="1"/>
  <c r="C78" i="3" s="1"/>
  <c r="A79" i="3"/>
  <c r="J78" i="3" a="1"/>
  <c r="J78" i="3" s="1"/>
  <c r="F78" i="3" a="1"/>
  <c r="F78" i="3" s="1"/>
  <c r="I78" i="3" a="1"/>
  <c r="I78" i="3" s="1"/>
  <c r="E78" i="3" a="1"/>
  <c r="E78" i="3" s="1"/>
  <c r="H78" i="3" a="1"/>
  <c r="H78" i="3" s="1"/>
  <c r="D78" i="3" a="1"/>
  <c r="D78" i="3" s="1"/>
  <c r="D77" i="9" l="1"/>
  <c r="E16" i="9" s="1"/>
  <c r="D76" i="9"/>
  <c r="E5" i="9" s="1"/>
  <c r="I76" i="9"/>
  <c r="J5" i="9" s="1"/>
  <c r="I77" i="9"/>
  <c r="J16" i="9" s="1"/>
  <c r="G76" i="9"/>
  <c r="H5" i="9" s="1"/>
  <c r="G77" i="9"/>
  <c r="K76" i="9"/>
  <c r="B5" i="9" s="1"/>
  <c r="K77" i="9"/>
  <c r="H76" i="9"/>
  <c r="I5" i="9" s="1"/>
  <c r="H77" i="9"/>
  <c r="I16" i="9" s="1"/>
  <c r="A37" i="9"/>
  <c r="E77" i="9"/>
  <c r="F16" i="9" s="1"/>
  <c r="E76" i="9"/>
  <c r="F5" i="9" s="1"/>
  <c r="J76" i="9"/>
  <c r="K5" i="9" s="1"/>
  <c r="J77" i="9"/>
  <c r="K16" i="9" s="1"/>
  <c r="A94" i="9"/>
  <c r="C76" i="9"/>
  <c r="D5" i="9" s="1"/>
  <c r="C77" i="9"/>
  <c r="D16" i="9" s="1"/>
  <c r="F76" i="9"/>
  <c r="G5" i="9" s="1"/>
  <c r="F77" i="9"/>
  <c r="G16" i="9" s="1"/>
  <c r="A75" i="4"/>
  <c r="A37" i="4"/>
  <c r="A113" i="4"/>
  <c r="J117" i="3" a="1"/>
  <c r="J117" i="3" s="1"/>
  <c r="F117" i="3" a="1"/>
  <c r="F117" i="3" s="1"/>
  <c r="I117" i="3" a="1"/>
  <c r="I117" i="3" s="1"/>
  <c r="E117" i="3" a="1"/>
  <c r="E117" i="3" s="1"/>
  <c r="A118" i="3"/>
  <c r="H117" i="3" a="1"/>
  <c r="H117" i="3" s="1"/>
  <c r="D117" i="3" a="1"/>
  <c r="D117" i="3" s="1"/>
  <c r="K117" i="3" a="1"/>
  <c r="K117" i="3" s="1"/>
  <c r="G117" i="3" a="1"/>
  <c r="G117" i="3" s="1"/>
  <c r="C117" i="3" a="1"/>
  <c r="C117" i="3" s="1"/>
  <c r="F99" i="3" a="1"/>
  <c r="F99" i="3" s="1"/>
  <c r="H99" i="3" a="1"/>
  <c r="H99" i="3" s="1"/>
  <c r="D99" i="3" a="1"/>
  <c r="D99" i="3" s="1"/>
  <c r="J99" i="3" a="1"/>
  <c r="J99" i="3" s="1"/>
  <c r="K99" i="3" a="1"/>
  <c r="K99" i="3" s="1"/>
  <c r="G99" i="3" a="1"/>
  <c r="G99" i="3" s="1"/>
  <c r="C99" i="3" a="1"/>
  <c r="C99" i="3" s="1"/>
  <c r="I99" i="3" a="1"/>
  <c r="I99" i="3" s="1"/>
  <c r="E99" i="3" a="1"/>
  <c r="E99" i="3" s="1"/>
  <c r="J79" i="3" a="1"/>
  <c r="J79" i="3" s="1"/>
  <c r="F79" i="3" a="1"/>
  <c r="F79" i="3" s="1"/>
  <c r="I79" i="3" a="1"/>
  <c r="I79" i="3" s="1"/>
  <c r="E79" i="3" a="1"/>
  <c r="E79" i="3" s="1"/>
  <c r="A80" i="3"/>
  <c r="H79" i="3" a="1"/>
  <c r="H79" i="3" s="1"/>
  <c r="D79" i="3" a="1"/>
  <c r="D79" i="3" s="1"/>
  <c r="K79" i="3" a="1"/>
  <c r="K79" i="3" s="1"/>
  <c r="G79" i="3" a="1"/>
  <c r="G79" i="3" s="1"/>
  <c r="C79" i="3" a="1"/>
  <c r="C79" i="3" s="1"/>
  <c r="B19" i="9" l="1"/>
  <c r="B8" i="9"/>
  <c r="C58" i="9"/>
  <c r="D15" i="9" s="1"/>
  <c r="C57" i="9"/>
  <c r="D4" i="9" s="1"/>
  <c r="H16" i="9"/>
  <c r="B16" i="9"/>
  <c r="G8" i="9"/>
  <c r="G19" i="9"/>
  <c r="I57" i="9"/>
  <c r="J4" i="9" s="1"/>
  <c r="I58" i="9"/>
  <c r="J15" i="9" s="1"/>
  <c r="E58" i="9"/>
  <c r="F15" i="9" s="1"/>
  <c r="E57" i="9"/>
  <c r="F4" i="9" s="1"/>
  <c r="E19" i="9"/>
  <c r="E8" i="9"/>
  <c r="K58" i="9"/>
  <c r="B15" i="9" s="1"/>
  <c r="K57" i="9"/>
  <c r="B4" i="9" s="1"/>
  <c r="I8" i="9"/>
  <c r="I19" i="9"/>
  <c r="G58" i="9"/>
  <c r="H15" i="9" s="1"/>
  <c r="G57" i="9"/>
  <c r="H4" i="9" s="1"/>
  <c r="F8" i="9"/>
  <c r="F19" i="9"/>
  <c r="F58" i="9"/>
  <c r="G15" i="9" s="1"/>
  <c r="F57" i="9"/>
  <c r="G4" i="9" s="1"/>
  <c r="H57" i="9"/>
  <c r="I4" i="9" s="1"/>
  <c r="H58" i="9"/>
  <c r="I15" i="9" s="1"/>
  <c r="D19" i="9"/>
  <c r="D8" i="9"/>
  <c r="J8" i="9"/>
  <c r="J19" i="9"/>
  <c r="D58" i="9"/>
  <c r="E15" i="9" s="1"/>
  <c r="D57" i="9"/>
  <c r="E4" i="9" s="1"/>
  <c r="K8" i="9"/>
  <c r="K19" i="9"/>
  <c r="H19" i="9"/>
  <c r="H8" i="9"/>
  <c r="J58" i="9"/>
  <c r="K15" i="9" s="1"/>
  <c r="J57" i="9"/>
  <c r="K4" i="9" s="1"/>
  <c r="D8" i="4"/>
  <c r="I115" i="4" a="1"/>
  <c r="I115" i="4" s="1"/>
  <c r="J19" i="4" s="1"/>
  <c r="D115" i="4" a="1"/>
  <c r="D115" i="4" s="1"/>
  <c r="E19" i="4" s="1"/>
  <c r="F57" i="4"/>
  <c r="F58" i="4"/>
  <c r="G15" i="4" s="1"/>
  <c r="K95" i="4"/>
  <c r="K96" i="4"/>
  <c r="B17" i="4" s="1"/>
  <c r="K57" i="4"/>
  <c r="K58" i="4"/>
  <c r="B15" i="4" s="1"/>
  <c r="G58" i="4"/>
  <c r="H15" i="4" s="1"/>
  <c r="G57" i="4"/>
  <c r="D96" i="4"/>
  <c r="E17" i="4" s="1"/>
  <c r="E96" i="4"/>
  <c r="F17" i="4" s="1"/>
  <c r="E95" i="4"/>
  <c r="C58" i="4"/>
  <c r="D15" i="4" s="1"/>
  <c r="G95" i="4"/>
  <c r="G96" i="4"/>
  <c r="H17" i="4" s="1"/>
  <c r="D57" i="4"/>
  <c r="D58" i="4"/>
  <c r="E15" i="4" s="1"/>
  <c r="H58" i="4"/>
  <c r="I15" i="4" s="1"/>
  <c r="H57" i="4"/>
  <c r="H96" i="4"/>
  <c r="I17" i="4" s="1"/>
  <c r="H95" i="4"/>
  <c r="I58" i="4"/>
  <c r="J15" i="4" s="1"/>
  <c r="I57" i="4"/>
  <c r="I96" i="4"/>
  <c r="J17" i="4" s="1"/>
  <c r="I95" i="4"/>
  <c r="J57" i="4"/>
  <c r="J58" i="4"/>
  <c r="K15" i="4" s="1"/>
  <c r="F96" i="4"/>
  <c r="G17" i="4" s="1"/>
  <c r="F95" i="4"/>
  <c r="E58" i="4"/>
  <c r="F15" i="4" s="1"/>
  <c r="E57" i="4"/>
  <c r="C96" i="4"/>
  <c r="D17" i="4" s="1"/>
  <c r="J95" i="4"/>
  <c r="J96" i="4"/>
  <c r="K17" i="4" s="1"/>
  <c r="I118" i="3" a="1"/>
  <c r="I118" i="3" s="1"/>
  <c r="H118" i="3" a="1"/>
  <c r="H118" i="3" s="1"/>
  <c r="D118" i="3" a="1"/>
  <c r="D118" i="3" s="1"/>
  <c r="E118" i="3" a="1"/>
  <c r="E118" i="3" s="1"/>
  <c r="K118" i="3" a="1"/>
  <c r="K118" i="3" s="1"/>
  <c r="G118" i="3" a="1"/>
  <c r="G118" i="3" s="1"/>
  <c r="C118" i="3" a="1"/>
  <c r="C118" i="3" s="1"/>
  <c r="J118" i="3" a="1"/>
  <c r="J118" i="3" s="1"/>
  <c r="F118" i="3" a="1"/>
  <c r="F118" i="3" s="1"/>
  <c r="C100" i="3"/>
  <c r="D6" i="3" s="1"/>
  <c r="C101" i="3"/>
  <c r="D20" i="3" s="1"/>
  <c r="E101" i="3"/>
  <c r="F20" i="3" s="1"/>
  <c r="E100" i="3"/>
  <c r="F6" i="3" s="1"/>
  <c r="G101" i="3"/>
  <c r="H20" i="3" s="1"/>
  <c r="G100" i="3"/>
  <c r="H6" i="3" s="1"/>
  <c r="K101" i="3"/>
  <c r="B20" i="3" s="1"/>
  <c r="K100" i="3"/>
  <c r="B6" i="3" s="1"/>
  <c r="I100" i="3"/>
  <c r="J6" i="3" s="1"/>
  <c r="I101" i="3"/>
  <c r="J20" i="3" s="1"/>
  <c r="J101" i="3"/>
  <c r="K20" i="3" s="1"/>
  <c r="J100" i="3"/>
  <c r="K6" i="3" s="1"/>
  <c r="D100" i="3"/>
  <c r="E6" i="3" s="1"/>
  <c r="D101" i="3"/>
  <c r="E20" i="3" s="1"/>
  <c r="H101" i="3"/>
  <c r="I20" i="3" s="1"/>
  <c r="H100" i="3"/>
  <c r="I6" i="3" s="1"/>
  <c r="F101" i="3"/>
  <c r="G20" i="3" s="1"/>
  <c r="F100" i="3"/>
  <c r="G6" i="3" s="1"/>
  <c r="I80" i="3" a="1"/>
  <c r="I80" i="3" s="1"/>
  <c r="H80" i="3" a="1"/>
  <c r="H80" i="3" s="1"/>
  <c r="D80" i="3" a="1"/>
  <c r="D80" i="3" s="1"/>
  <c r="K80" i="3" a="1"/>
  <c r="K80" i="3" s="1"/>
  <c r="G80" i="3" a="1"/>
  <c r="G80" i="3" s="1"/>
  <c r="C80" i="3" a="1"/>
  <c r="C80" i="3" s="1"/>
  <c r="E80" i="3" a="1"/>
  <c r="E80" i="3" s="1"/>
  <c r="J80" i="3" a="1"/>
  <c r="J80" i="3" s="1"/>
  <c r="F80" i="3" a="1"/>
  <c r="F80" i="3" s="1"/>
  <c r="D95" i="9" l="1"/>
  <c r="E6" i="9" s="1"/>
  <c r="D96" i="9"/>
  <c r="E17" i="9" s="1"/>
  <c r="E38" i="9"/>
  <c r="F7" i="9" s="1"/>
  <c r="E39" i="9"/>
  <c r="F18" i="9" s="1"/>
  <c r="K38" i="9"/>
  <c r="B7" i="9" s="1"/>
  <c r="K39" i="9"/>
  <c r="B18" i="9" s="1"/>
  <c r="G39" i="9"/>
  <c r="H18" i="9" s="1"/>
  <c r="G38" i="9"/>
  <c r="H7" i="9" s="1"/>
  <c r="H96" i="9"/>
  <c r="I17" i="9" s="1"/>
  <c r="H95" i="9"/>
  <c r="I6" i="9" s="1"/>
  <c r="H39" i="9"/>
  <c r="I18" i="9" s="1"/>
  <c r="H38" i="9"/>
  <c r="I7" i="9" s="1"/>
  <c r="E96" i="9"/>
  <c r="F17" i="9" s="1"/>
  <c r="E95" i="9"/>
  <c r="F6" i="9" s="1"/>
  <c r="J96" i="9"/>
  <c r="K17" i="9" s="1"/>
  <c r="J95" i="9"/>
  <c r="K6" i="9" s="1"/>
  <c r="C39" i="9"/>
  <c r="D18" i="9" s="1"/>
  <c r="C38" i="9"/>
  <c r="D7" i="9" s="1"/>
  <c r="G96" i="9"/>
  <c r="H17" i="9" s="1"/>
  <c r="G95" i="9"/>
  <c r="H6" i="9" s="1"/>
  <c r="I38" i="9"/>
  <c r="J7" i="9" s="1"/>
  <c r="I39" i="9"/>
  <c r="J18" i="9" s="1"/>
  <c r="I95" i="9"/>
  <c r="J6" i="9" s="1"/>
  <c r="I96" i="9"/>
  <c r="J17" i="9" s="1"/>
  <c r="D38" i="9"/>
  <c r="E7" i="9" s="1"/>
  <c r="D39" i="9"/>
  <c r="E18" i="9" s="1"/>
  <c r="F96" i="9"/>
  <c r="G17" i="9" s="1"/>
  <c r="F95" i="9"/>
  <c r="G6" i="9" s="1"/>
  <c r="C95" i="9"/>
  <c r="D6" i="9" s="1"/>
  <c r="C96" i="9"/>
  <c r="D17" i="9" s="1"/>
  <c r="J39" i="9"/>
  <c r="K18" i="9" s="1"/>
  <c r="J38" i="9"/>
  <c r="K7" i="9" s="1"/>
  <c r="K96" i="9"/>
  <c r="B17" i="9" s="1"/>
  <c r="K95" i="9"/>
  <c r="B6" i="9" s="1"/>
  <c r="F39" i="9"/>
  <c r="G18" i="9" s="1"/>
  <c r="F38" i="9"/>
  <c r="G7" i="9" s="1"/>
  <c r="F8" i="4"/>
  <c r="D4" i="4"/>
  <c r="B4" i="4"/>
  <c r="F6" i="4"/>
  <c r="H6" i="4"/>
  <c r="G6" i="4"/>
  <c r="I6" i="4"/>
  <c r="I4" i="4"/>
  <c r="K6" i="4"/>
  <c r="K4" i="4"/>
  <c r="B6" i="4"/>
  <c r="F4" i="4"/>
  <c r="J4" i="4"/>
  <c r="H4" i="4"/>
  <c r="D6" i="4"/>
  <c r="J6" i="4"/>
  <c r="E4" i="4"/>
  <c r="E6" i="4"/>
  <c r="G4" i="4"/>
  <c r="C115" i="4" a="1"/>
  <c r="C115" i="4" s="1"/>
  <c r="D19" i="4" s="1"/>
  <c r="G115" i="4" a="1"/>
  <c r="G115" i="4" s="1"/>
  <c r="H19" i="4" s="1"/>
  <c r="H115" i="4" a="1"/>
  <c r="H115" i="4" s="1"/>
  <c r="I19" i="4" s="1"/>
  <c r="J115" i="4" a="1"/>
  <c r="J115" i="4" s="1"/>
  <c r="K19" i="4" s="1"/>
  <c r="F115" i="4" a="1"/>
  <c r="F115" i="4" s="1"/>
  <c r="G19" i="4" s="1"/>
  <c r="K115" i="4" a="1"/>
  <c r="K115" i="4" s="1"/>
  <c r="B19" i="4" s="1"/>
  <c r="B8" i="4"/>
  <c r="E115" i="4" a="1"/>
  <c r="E115" i="4" s="1"/>
  <c r="F19" i="4" s="1"/>
  <c r="F77" i="4"/>
  <c r="G16" i="4" s="1"/>
  <c r="F76" i="4"/>
  <c r="C39" i="4"/>
  <c r="D18" i="4" s="1"/>
  <c r="C38" i="4"/>
  <c r="J39" i="4"/>
  <c r="K18" i="4" s="1"/>
  <c r="J38" i="4"/>
  <c r="J76" i="4"/>
  <c r="J77" i="4"/>
  <c r="K16" i="4" s="1"/>
  <c r="G39" i="4"/>
  <c r="H18" i="4" s="1"/>
  <c r="G38" i="4"/>
  <c r="E77" i="4"/>
  <c r="F16" i="4" s="1"/>
  <c r="E76" i="4"/>
  <c r="D39" i="4"/>
  <c r="E18" i="4" s="1"/>
  <c r="D38" i="4"/>
  <c r="K38" i="4"/>
  <c r="K39" i="4"/>
  <c r="B18" i="4" s="1"/>
  <c r="C77" i="4"/>
  <c r="D16" i="4" s="1"/>
  <c r="C76" i="4"/>
  <c r="G77" i="4"/>
  <c r="H16" i="4" s="1"/>
  <c r="G76" i="4"/>
  <c r="H38" i="4"/>
  <c r="H39" i="4"/>
  <c r="I18" i="4" s="1"/>
  <c r="H76" i="4"/>
  <c r="H77" i="4"/>
  <c r="I16" i="4" s="1"/>
  <c r="K76" i="4"/>
  <c r="K77" i="4"/>
  <c r="B16" i="4" s="1"/>
  <c r="E39" i="4"/>
  <c r="F18" i="4" s="1"/>
  <c r="E38" i="4"/>
  <c r="I38" i="4"/>
  <c r="I39" i="4"/>
  <c r="J18" i="4" s="1"/>
  <c r="D77" i="4"/>
  <c r="E16" i="4" s="1"/>
  <c r="D76" i="4"/>
  <c r="I77" i="4"/>
  <c r="J16" i="4" s="1"/>
  <c r="I76" i="4"/>
  <c r="F38" i="4"/>
  <c r="F39" i="4"/>
  <c r="G18" i="4" s="1"/>
  <c r="G119" i="3"/>
  <c r="H8" i="3" s="1"/>
  <c r="G120" i="3"/>
  <c r="H22" i="3" s="1"/>
  <c r="C120" i="3"/>
  <c r="D22" i="3" s="1"/>
  <c r="C119" i="3"/>
  <c r="D8" i="3" s="1"/>
  <c r="K119" i="3"/>
  <c r="B8" i="3" s="1"/>
  <c r="K120" i="3"/>
  <c r="B22" i="3" s="1"/>
  <c r="J120" i="3"/>
  <c r="K22" i="3" s="1"/>
  <c r="J119" i="3"/>
  <c r="K8" i="3" s="1"/>
  <c r="E120" i="3"/>
  <c r="F22" i="3" s="1"/>
  <c r="E119" i="3"/>
  <c r="F8" i="3" s="1"/>
  <c r="D120" i="3"/>
  <c r="E22" i="3" s="1"/>
  <c r="D119" i="3"/>
  <c r="E8" i="3" s="1"/>
  <c r="H119" i="3"/>
  <c r="I8" i="3" s="1"/>
  <c r="H120" i="3"/>
  <c r="I22" i="3" s="1"/>
  <c r="F120" i="3"/>
  <c r="G22" i="3" s="1"/>
  <c r="F119" i="3"/>
  <c r="G8" i="3" s="1"/>
  <c r="I119" i="3"/>
  <c r="J8" i="3" s="1"/>
  <c r="I120" i="3"/>
  <c r="J22" i="3" s="1"/>
  <c r="J82" i="3"/>
  <c r="K19" i="3" s="1"/>
  <c r="J81" i="3"/>
  <c r="K5" i="3" s="1"/>
  <c r="E81" i="3"/>
  <c r="F5" i="3" s="1"/>
  <c r="E82" i="3"/>
  <c r="F19" i="3" s="1"/>
  <c r="K81" i="3"/>
  <c r="B5" i="3" s="1"/>
  <c r="K82" i="3"/>
  <c r="B19" i="3" s="1"/>
  <c r="C81" i="3"/>
  <c r="D5" i="3" s="1"/>
  <c r="C82" i="3"/>
  <c r="D19" i="3" s="1"/>
  <c r="D82" i="3"/>
  <c r="E19" i="3" s="1"/>
  <c r="D81" i="3"/>
  <c r="E5" i="3" s="1"/>
  <c r="G81" i="3"/>
  <c r="H5" i="3" s="1"/>
  <c r="G82" i="3"/>
  <c r="H19" i="3" s="1"/>
  <c r="H82" i="3"/>
  <c r="I19" i="3" s="1"/>
  <c r="H81" i="3"/>
  <c r="I5" i="3" s="1"/>
  <c r="F82" i="3"/>
  <c r="G19" i="3" s="1"/>
  <c r="F81" i="3"/>
  <c r="G5" i="3" s="1"/>
  <c r="I81" i="3"/>
  <c r="J5" i="3" s="1"/>
  <c r="I82" i="3"/>
  <c r="J19" i="3" s="1"/>
  <c r="C4" i="3" l="1"/>
  <c r="C17" i="9"/>
  <c r="C18" i="9"/>
  <c r="C6" i="9"/>
  <c r="C16" i="9"/>
  <c r="C8" i="9"/>
  <c r="C5" i="9"/>
  <c r="C4" i="9"/>
  <c r="C7" i="9"/>
  <c r="C19" i="9"/>
  <c r="C15" i="9"/>
  <c r="C19" i="3"/>
  <c r="C18" i="3"/>
  <c r="C21" i="3"/>
  <c r="C5" i="3"/>
  <c r="C7" i="3"/>
  <c r="C22" i="3"/>
  <c r="C8" i="3"/>
  <c r="C20" i="3"/>
  <c r="C6" i="3"/>
  <c r="K7" i="4"/>
  <c r="F7" i="4"/>
  <c r="H5" i="4"/>
  <c r="F5" i="4"/>
  <c r="D7" i="4"/>
  <c r="J7" i="4"/>
  <c r="K8" i="4"/>
  <c r="E8" i="4"/>
  <c r="G8" i="4"/>
  <c r="H8" i="4"/>
  <c r="D5" i="4"/>
  <c r="B5" i="4"/>
  <c r="E7" i="4"/>
  <c r="I7" i="4"/>
  <c r="G7" i="4"/>
  <c r="J5" i="4"/>
  <c r="G5" i="4"/>
  <c r="I8" i="4"/>
  <c r="H7" i="4"/>
  <c r="E5" i="4"/>
  <c r="I5" i="4"/>
  <c r="B7" i="4"/>
  <c r="K5" i="4"/>
  <c r="J8" i="4"/>
  <c r="D9" i="3" l="1"/>
  <c r="J20" i="9"/>
  <c r="D9" i="9"/>
  <c r="E3" i="5" s="1"/>
  <c r="I20" i="9"/>
  <c r="K9" i="9"/>
  <c r="G20" i="9"/>
  <c r="I9" i="9"/>
  <c r="E20" i="9"/>
  <c r="D20" i="9"/>
  <c r="J9" i="9"/>
  <c r="H9" i="9"/>
  <c r="G9" i="9"/>
  <c r="E5" i="5" s="1"/>
  <c r="H20" i="9"/>
  <c r="F9" i="9"/>
  <c r="K20" i="9"/>
  <c r="E9" i="9"/>
  <c r="E4" i="5" s="1"/>
  <c r="F20" i="9"/>
  <c r="E23" i="3"/>
  <c r="H9" i="3"/>
  <c r="D23" i="3"/>
  <c r="H23" i="3"/>
  <c r="K9" i="3"/>
  <c r="G9" i="3"/>
  <c r="C5" i="5" s="1"/>
  <c r="J9" i="3"/>
  <c r="G23" i="3"/>
  <c r="K23" i="3"/>
  <c r="F9" i="3"/>
  <c r="J23" i="3"/>
  <c r="F23" i="3"/>
  <c r="I23" i="3"/>
  <c r="I9" i="3"/>
  <c r="C3" i="5"/>
  <c r="E9" i="3"/>
  <c r="C4" i="5" s="1"/>
  <c r="C8" i="4"/>
  <c r="C18" i="4"/>
  <c r="C15" i="4"/>
  <c r="C19" i="4"/>
  <c r="C7" i="4"/>
  <c r="C17" i="4"/>
  <c r="C5" i="4"/>
  <c r="C4" i="4"/>
  <c r="C6" i="4"/>
  <c r="C16" i="4"/>
  <c r="E15" i="5" l="1"/>
  <c r="D9" i="4"/>
  <c r="D3" i="5" s="1"/>
  <c r="C15" i="5"/>
  <c r="K20" i="4"/>
  <c r="I20" i="4"/>
  <c r="G20" i="4"/>
  <c r="E20" i="4"/>
  <c r="J20" i="4"/>
  <c r="F20" i="4"/>
  <c r="D20" i="4"/>
  <c r="H20" i="4"/>
  <c r="K9" i="4"/>
  <c r="J9" i="4"/>
  <c r="I9" i="4"/>
  <c r="H9" i="4"/>
  <c r="G9" i="4"/>
  <c r="D5" i="5" s="1"/>
  <c r="F9" i="4"/>
  <c r="E9" i="4"/>
  <c r="D4" i="5" s="1"/>
  <c r="D1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<sst xmlns="http://schemas.openxmlformats.org/spreadsheetml/2006/main" count="991" uniqueCount="72">
  <si>
    <t>Criterion</t>
  </si>
  <si>
    <t>Text</t>
  </si>
  <si>
    <t>Labelled 
Picture</t>
  </si>
  <si>
    <t>Audio</t>
  </si>
  <si>
    <t>Computer 
animated 
(CAD)</t>
  </si>
  <si>
    <t>Video</t>
  </si>
  <si>
    <t>Gesture 
recognition / 
Object detection</t>
  </si>
  <si>
    <t>Paper-
based 
manual</t>
  </si>
  <si>
    <t>Manual 
(video) on 
screen</t>
  </si>
  <si>
    <t>Complexity</t>
  </si>
  <si>
    <t>Weight</t>
  </si>
  <si>
    <t>Use case</t>
  </si>
  <si>
    <t>Effort to get data¹</t>
  </si>
  <si>
    <t>High</t>
  </si>
  <si>
    <t>Replacing engine of a car</t>
  </si>
  <si>
    <t>Error reduction²</t>
  </si>
  <si>
    <t>Completion time³</t>
  </si>
  <si>
    <t>Transferability⁴</t>
  </si>
  <si>
    <t>Engine</t>
  </si>
  <si>
    <t>safety</t>
  </si>
  <si>
    <t>Medium</t>
  </si>
  <si>
    <t>Safety⁵</t>
  </si>
  <si>
    <t>Participant</t>
  </si>
  <si>
    <t>Mean</t>
  </si>
  <si>
    <t>Median</t>
  </si>
  <si>
    <t>Overview</t>
  </si>
  <si>
    <t>Adjusted Weights</t>
  </si>
  <si>
    <t>Score</t>
  </si>
  <si>
    <t>AR Gudance Approaches</t>
  </si>
  <si>
    <t>AR Guidance Approaches</t>
  </si>
  <si>
    <t>1. How high is the complexity?</t>
  </si>
  <si>
    <t>2. Which approaches are already known</t>
  </si>
  <si>
    <t>Output</t>
  </si>
  <si>
    <t>AR Approaches</t>
  </si>
  <si>
    <t>Non AR Approaches</t>
  </si>
  <si>
    <t>Low</t>
  </si>
  <si>
    <t>Start Questionnaire</t>
  </si>
  <si>
    <t>Labelled Picture</t>
  </si>
  <si>
    <t>Computer animated (CAD)</t>
  </si>
  <si>
    <t>Manual (video) on screen</t>
  </si>
  <si>
    <t>Calculation</t>
  </si>
  <si>
    <t>Gesture recognition / Object detection</t>
  </si>
  <si>
    <t>Paper-based manual</t>
  </si>
  <si>
    <t>Low Complexity</t>
  </si>
  <si>
    <t>Medium Complexity</t>
  </si>
  <si>
    <t>High Complexity</t>
  </si>
  <si>
    <t>Results</t>
  </si>
  <si>
    <t>Preferred Method</t>
  </si>
  <si>
    <t>Solar panel for satellites</t>
  </si>
  <si>
    <t>Gears</t>
  </si>
  <si>
    <t>AR goggles</t>
  </si>
  <si>
    <t>Paper-based</t>
  </si>
  <si>
    <t>On-screen</t>
  </si>
  <si>
    <t xml:space="preserve">Standarddev Low </t>
  </si>
  <si>
    <t>Standarddev Medium</t>
  </si>
  <si>
    <t>Standarddev High</t>
  </si>
  <si>
    <t>standardabwe</t>
  </si>
  <si>
    <t>weights</t>
  </si>
  <si>
    <t>Effort to get data</t>
  </si>
  <si>
    <t>Error reduction</t>
  </si>
  <si>
    <t>Transferability</t>
  </si>
  <si>
    <t>Completion time</t>
  </si>
  <si>
    <t>Safety</t>
  </si>
  <si>
    <t>Text (AR)</t>
  </si>
  <si>
    <t>Labelled Picture (AR)</t>
  </si>
  <si>
    <t>Audio (AR)</t>
  </si>
  <si>
    <t>Computer Animated (AR)</t>
  </si>
  <si>
    <t>Video (AR)</t>
  </si>
  <si>
    <t>Interactive System (AR)</t>
  </si>
  <si>
    <t>Low complexity</t>
  </si>
  <si>
    <t>Medium complexity</t>
  </si>
  <si>
    <t>High complexity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</si>
</sst>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i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699"/>
        <bgColor rgb="FFFFE699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theme="4" tint="0.39997558519241921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1">
    <xf numFmtId="0" fontId="0" fillId="0" borderId="0" xfId="0"/>
    <xf numFmtId="0" fontId="3" fillId="3" borderId="0" xfId="0" applyFont="1" applyFill="1"/>
    <xf numFmtId="0" fontId="0" fillId="0" borderId="2" xfId="0" applyBorder="1"/>
    <xf numFmtId="0" fontId="5" fillId="3" borderId="0" xfId="0" applyFont="1" applyFill="1"/>
    <xf numFmtId="0" fontId="0" fillId="0" borderId="3" xfId="0" applyBorder="1"/>
    <xf numFmtId="9" fontId="0" fillId="0" borderId="0" xfId="1" applyFont="1"/>
    <xf numFmtId="2" fontId="4" fillId="0" borderId="2" xfId="0" applyNumberFormat="1" applyFont="1" applyBorder="1"/>
    <xf numFmtId="0" fontId="6" fillId="0" borderId="0" xfId="0" applyFont="1"/>
    <xf numFmtId="0" fontId="7" fillId="0" borderId="0" xfId="0" applyFont="1"/>
    <xf numFmtId="0" fontId="8" fillId="2" borderId="1" xfId="2" applyFont="1"/>
    <xf numFmtId="0" fontId="9" fillId="3" borderId="0" xfId="0" applyFont="1" applyFill="1"/>
    <xf numFmtId="0" fontId="4" fillId="0" borderId="3" xfId="0" applyFont="1" applyBorder="1"/>
    <xf numFmtId="0" fontId="0" fillId="0" borderId="3" xfId="0" applyBorder="1" applyAlignment="1">
      <alignment wrapText="1"/>
    </xf>
    <xf numFmtId="0" fontId="3" fillId="3" borderId="0" xfId="0" applyFont="1" applyFill="1" applyAlignment="1">
      <alignment wrapText="1"/>
    </xf>
    <xf numFmtId="0" fontId="10" fillId="0" borderId="0" xfId="0" applyFont="1"/>
    <xf numFmtId="0" fontId="4" fillId="0" borderId="0" xfId="0" applyFont="1"/>
    <xf numFmtId="0" fontId="0" fillId="0" borderId="4" xfId="0" applyBorder="1"/>
    <xf numFmtId="0" fontId="11" fillId="0" borderId="0" xfId="0" applyFont="1"/>
    <xf numFmtId="0" fontId="0" fillId="4" borderId="5" xfId="0" applyFill="1" applyBorder="1"/>
    <xf numFmtId="0" fontId="0" fillId="0" borderId="5" xfId="0" applyBorder="1"/>
    <xf numFmtId="0" fontId="12" fillId="5" borderId="6" xfId="0" applyFont="1" applyFill="1" applyBorder="1"/>
    <xf numFmtId="0" fontId="12" fillId="5" borderId="7" xfId="0" applyFont="1" applyFill="1" applyBorder="1"/>
    <xf numFmtId="0" fontId="0" fillId="4" borderId="8" xfId="0" applyFill="1" applyBorder="1"/>
    <xf numFmtId="0" fontId="0" fillId="0" borderId="8" xfId="0" applyBorder="1"/>
    <xf numFmtId="0" fontId="0" fillId="6" borderId="8" xfId="0" applyFill="1" applyBorder="1"/>
    <xf numFmtId="9" fontId="0" fillId="0" borderId="2" xfId="0" applyNumberFormat="1" applyBorder="1"/>
    <xf numFmtId="9" fontId="0" fillId="0" borderId="0" xfId="0" applyNumberFormat="1"/>
    <xf numFmtId="2" fontId="4" fillId="0" borderId="0" xfId="0" applyNumberFormat="1" applyFont="1"/>
    <xf numFmtId="164" fontId="0" fillId="0" borderId="0" xfId="0" applyNumberFormat="1"/>
    <xf numFmtId="164" fontId="4" fillId="0" borderId="2" xfId="0" applyNumberFormat="1" applyFont="1" applyBorder="1"/>
    <xf numFmtId="0" fontId="0" fillId="0" borderId="0" xfId="0" applyAlignment="1">
      <alignment horizontal="center"/>
    </xf>
  </cellXfs>
  <cellStyles count="3">
    <cellStyle name="Input" xfId="2" builtinId="20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Analysis_Low!$C$9</c:f>
              <c:strCache>
                <c:ptCount val="1"/>
                <c:pt idx="0">
                  <c:v>Low complexity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Analysis_Low!$D$9:$K$9</c:f>
              <c:numCache>
                <c:formatCode>0.00</c:formatCode>
                <c:ptCount val="8"/>
                <c:pt idx="0">
                  <c:v>2.7877192982456136</c:v>
                </c:pt>
                <c:pt idx="1">
                  <c:v>3.7047619047619049</c:v>
                </c:pt>
                <c:pt idx="2">
                  <c:v>2.6177944862155389</c:v>
                </c:pt>
                <c:pt idx="3">
                  <c:v>3.689724310776942</c:v>
                </c:pt>
                <c:pt idx="4">
                  <c:v>3.1238095238095234</c:v>
                </c:pt>
                <c:pt idx="5">
                  <c:v>3.3904761904761909</c:v>
                </c:pt>
                <c:pt idx="6">
                  <c:v>2.6190476190476195</c:v>
                </c:pt>
                <c:pt idx="7">
                  <c:v>3.1162907268170423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C-46EE-8C3C-B7BDFB7B53B4}"/>
            </c:ext>
          </c:extLst>
        </c:ser>
        <c:ser>
          <c:idx val="1"/>
          <c:order val="1"/>
          <c:tx>
            <c:strRef>
              <c:f>Analysis_Low!$C$10</c:f>
              <c:strCache>
                <c:ptCount val="1"/>
                <c:pt idx="0">
                  <c:v>Medium complexity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Analysis_Low!$D$10:$K$10</c:f>
              <c:numCache>
                <c:formatCode>0.00</c:formatCode>
                <c:ptCount val="8"/>
                <c:pt idx="0">
                  <c:v>2.3567901234567903</c:v>
                </c:pt>
                <c:pt idx="1">
                  <c:v>3.2129629629629628</c:v>
                </c:pt>
                <c:pt idx="2">
                  <c:v>2.384567901234568</c:v>
                </c:pt>
                <c:pt idx="3">
                  <c:v>2.8154320987654322</c:v>
                </c:pt>
                <c:pt idx="4">
                  <c:v>2.7067901234567904</c:v>
                </c:pt>
                <c:pt idx="5">
                  <c:v>3.4314814814814816</c:v>
                </c:pt>
                <c:pt idx="6">
                  <c:v>2.3944444444444448</c:v>
                </c:pt>
                <c:pt idx="7">
                  <c:v>2.8222222222222224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C-46EE-8C3C-B7BDFB7B53B4}"/>
            </c:ext>
          </c:extLst>
        </c:ser>
        <c:ser>
          <c:idx val="2"/>
          <c:order val="2"/>
          <c:tx>
            <c:strRef>
              <c:f>Analysis_Low!$C$11</c:f>
              <c:strCache>
                <c:ptCount val="1"/>
                <c:pt idx="0">
                  <c:v>High complexity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Analysis_Low!$D$11:$K$11</c:f>
              <c:numCache>
                <c:formatCode>0.00</c:formatCode>
                <c:ptCount val="8"/>
                <c:pt idx="0">
                  <c:v>3.064758876523582</c:v>
                </c:pt>
                <c:pt idx="1">
                  <c:v>3.5850556438791727</c:v>
                </c:pt>
                <c:pt idx="2">
                  <c:v>2.2011658717541067</c:v>
                </c:pt>
                <c:pt idx="3">
                  <c:v>3.9586645468998403</c:v>
                </c:pt>
                <c:pt idx="4">
                  <c:v>2.9416534181240057</c:v>
                </c:pt>
                <c:pt idx="5">
                  <c:v>3.3311605723370423</c:v>
                </c:pt>
                <c:pt idx="6">
                  <c:v>2.5269740328563857</c:v>
                </c:pt>
                <c:pt idx="7">
                  <c:v>3.0412294647588762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C-46EE-8C3C-B7BDFB7B5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36096"/>
        <c:axId val="2173443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Analysis_Low!$D$3</c15:sqref>
                        </c15:formulaRef>
                      </c:ext>
                    </c:extLst>
                    <c:strCache>
                      <c:ptCount val="1"/>
                      <c:pt idx="0">
                        <c:v>Text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Analysis_Low!$D$2:$K$2</c15:sqref>
                        </c15:formulaRef>
                      </c:ext>
                    </c:extLst>
                    <c:strCache>
                      <c:ptCount val="8"/>
                      <c:pt idx="0">
                        <c:v>Text (AR)</c:v>
                      </c:pt>
                      <c:pt idx="1">
                        <c:v>Labelled Picture (AR)</c:v>
                      </c:pt>
                      <c:pt idx="2">
                        <c:v>Audio (AR)</c:v>
                      </c:pt>
                      <c:pt idx="3">
                        <c:v>Computer Animated (AR)</c:v>
                      </c:pt>
                      <c:pt idx="4">
                        <c:v>Video (AR)</c:v>
                      </c:pt>
                      <c:pt idx="5">
                        <c:v>Interactive System (AR)</c:v>
                      </c:pt>
                      <c:pt idx="6">
                        <c:v>Paper-based</c:v>
                      </c:pt>
                      <c:pt idx="7">
                        <c:v>On-screen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Analysis_Low!$E$3:$K$3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1D4C-46EE-8C3C-B7BDFB7B53B4}"/>
                  </c:ext>
                </c:extLst>
              </c15:ser>
            </c15:filteredBarSeries>
          </c:ext>
        </c:extLst>
      </c:barChart>
      <c:catAx>
        <c:axId val="2173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734432"/>
        <c:crosses val="autoZero"/>
        <c:auto val="1"/>
        <c:lblAlgn val="ctr"/>
        <c:lblOffset val="100"/>
        <c:noMultiLvlLbl val="0"/>
      </c:catAx>
      <c:valAx>
        <c:axId val="2173443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173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Analysis_Low!$M$4</c:f>
              <c:strCache>
                <c:ptCount val="1"/>
                <c:pt idx="0">
                  <c:v>Low complexity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Analysis_Low!$M$5:$M$9</c:f>
              <c:numCache>
                <c:formatCode>0%</c:formatCode>
                <c:ptCount val="5"/>
                <c:pt idx="0">
                  <c:v>0.11228070175438598</c:v>
                </c:pt>
                <c:pt idx="1">
                  <c:v>0.24561403508771931</c:v>
                </c:pt>
                <c:pt idx="2">
                  <c:v>0.1368421052631579</c:v>
                </c:pt>
                <c:pt idx="3">
                  <c:v>0.33684210526315789</c:v>
                </c:pt>
                <c:pt idx="4">
                  <c:v>0.16842105263157894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5-4BFB-BDE6-2B334CD08DCE}"/>
            </c:ext>
          </c:extLst>
        </c:ser>
        <c:ser>
          <c:idx val="1"/>
          <c:order val="1"/>
          <c:tx>
            <c:strRef>
              <c:f>Analysis_Low!$N$4</c:f>
              <c:strCache>
                <c:ptCount val="1"/>
                <c:pt idx="0">
                  <c:v>Medium complexity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Analysis_Low!$N$5:$N$9</c:f>
              <c:numCache>
                <c:formatCode>0%</c:formatCode>
                <c:ptCount val="5"/>
                <c:pt idx="0">
                  <c:v>0.1277777777777778</c:v>
                </c:pt>
                <c:pt idx="1">
                  <c:v>0.28888888888888892</c:v>
                </c:pt>
                <c:pt idx="2">
                  <c:v>0.15</c:v>
                </c:pt>
                <c:pt idx="3">
                  <c:v>0.25</c:v>
                </c:pt>
                <c:pt idx="4">
                  <c:v>0.18333333333333332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5-4BFB-BDE6-2B334CD08DCE}"/>
            </c:ext>
          </c:extLst>
        </c:ser>
        <c:ser>
          <c:idx val="2"/>
          <c:order val="2"/>
          <c:tx>
            <c:strRef>
              <c:f>Analysis_Low!$O$4</c:f>
              <c:strCache>
                <c:ptCount val="1"/>
                <c:pt idx="0">
                  <c:v>High complexity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Analysis_Low!$O$5:$O$9</c:f>
              <c:numCache>
                <c:formatCode>0%</c:formatCode>
                <c:ptCount val="5"/>
                <c:pt idx="0">
                  <c:v>0.30206677265500792</c:v>
                </c:pt>
                <c:pt idx="1">
                  <c:v>0.24165341812400631</c:v>
                </c:pt>
                <c:pt idx="2">
                  <c:v>0.13990461049284578</c:v>
                </c:pt>
                <c:pt idx="3">
                  <c:v>0.18282988871224165</c:v>
                </c:pt>
                <c:pt idx="4">
                  <c:v>0.13354531001589823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5-4BFB-BDE6-2B334CD08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8956400"/>
        <c:axId val="1608948496"/>
      </c:barChart>
      <c:catAx>
        <c:axId val="160895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8948496"/>
        <c:crosses val="autoZero"/>
        <c:auto val="1"/>
        <c:lblAlgn val="ctr"/>
        <c:lblOffset val="100"/>
        <c:noMultiLvlLbl val="0"/>
      </c:catAx>
      <c:valAx>
        <c:axId val="1608948496"/>
        <c:scaling>
          <c:orientation val="minMax"/>
          <c:max val="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60895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Effort to get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Analysis_Low!$D$12:$K$12</c:f>
                <c:numCache>
                  <c:formatCode>General</c:formatCode>
                  <c:ptCount val="8"/>
                  <c:pt idx="0">
                    <c:v>0.62596863714876072</c:v>
                  </c:pt>
                  <c:pt idx="1">
                    <c:v>0.45848018673946378</c:v>
                  </c:pt>
                  <c:pt idx="2">
                    <c:v>0.32103150077492038</c:v>
                  </c:pt>
                  <c:pt idx="3">
                    <c:v>0.38795644611429336</c:v>
                  </c:pt>
                  <c:pt idx="4">
                    <c:v>0.47541603692267609</c:v>
                  </c:pt>
                  <c:pt idx="5">
                    <c:v>0.77853866248221126</c:v>
                  </c:pt>
                  <c:pt idx="6">
                    <c:v>0.54725660883936988</c:v>
                  </c:pt>
                  <c:pt idx="7">
                    <c:v>0.45005668577209862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Analysis_Low!$D$4:$K$4</c:f>
              <c:numCache>
                <c:formatCode>General</c:formatCode>
                <c:ptCount val="8"/>
                <c:pt idx="0">
                  <c:v>3.7857142857142856</c:v>
                </c:pt>
                <c:pt idx="1">
                  <c:v>4.2857142857142856</c:v>
                </c:pt>
                <c:pt idx="2">
                  <c:v>2.6428571428571428</c:v>
                </c:pt>
                <c:pt idx="3">
                  <c:v>3.0714285714285716</c:v>
                </c:pt>
                <c:pt idx="4">
                  <c:v>3.2857142857142856</c:v>
                </c:pt>
                <c:pt idx="5">
                  <c:v>2</c:v>
                </c:pt>
                <c:pt idx="6">
                  <c:v>3.6428571428571428</c:v>
                </c:pt>
                <c:pt idx="7">
                  <c:v>3.5714285714285716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6-40F3-B7B4-8B50819C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30772912"/>
        <c:axId val="1830774160"/>
      </c:barChart>
      <c:catAx>
        <c:axId val="1830772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774160"/>
        <c:crosses val="autoZero"/>
        <c:auto val="1"/>
        <c:lblAlgn val="ctr"/>
        <c:lblOffset val="100"/>
        <c:noMultiLvlLbl val="0"/>
      </c:catAx>
      <c:valAx>
        <c:axId val="183077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7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Error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Analysis_Low!$D$5:$K$5</c:f>
              <c:numCache>
                <c:formatCode>General</c:formatCode>
                <c:ptCount val="8"/>
                <c:pt idx="0">
                  <c:v>2.4285714285714284</c:v>
                </c:pt>
                <c:pt idx="1">
                  <c:v>3.7142857142857144</c:v>
                </c:pt>
                <c:pt idx="2">
                  <c:v>2.3571428571428572</c:v>
                </c:pt>
                <c:pt idx="3">
                  <c:v>4</c:v>
                </c:pt>
                <c:pt idx="4">
                  <c:v>3.6428571428571428</c:v>
                </c:pt>
                <c:pt idx="5">
                  <c:v>4</c:v>
                </c:pt>
                <c:pt idx="6">
                  <c:v>2.2142857142857144</c:v>
                </c:pt>
                <c:pt idx="7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E-4178-A5CC-33EEF1DA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710720"/>
        <c:axId val="21726528"/>
      </c:barChart>
      <c:catAx>
        <c:axId val="2171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26528"/>
        <c:crosses val="autoZero"/>
        <c:auto val="1"/>
        <c:lblAlgn val="ctr"/>
        <c:lblOffset val="100"/>
        <c:noMultiLvlLbl val="0"/>
      </c:catAx>
      <c:valAx>
        <c:axId val="2172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Transferability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Analysis_Low!$D$6:$K$6</c:f>
              <c:numCache>
                <c:formatCode>General</c:formatCode>
                <c:ptCount val="8"/>
                <c:pt idx="0">
                  <c:v>3.5</c:v>
                </c:pt>
                <c:pt idx="1">
                  <c:v>3</c:v>
                </c:pt>
                <c:pt idx="2">
                  <c:v>2.3571428571428572</c:v>
                </c:pt>
                <c:pt idx="3">
                  <c:v>3.2857142857142856</c:v>
                </c:pt>
                <c:pt idx="4">
                  <c:v>2.4285714285714284</c:v>
                </c:pt>
                <c:pt idx="5">
                  <c:v>2.8571428571428572</c:v>
                </c:pt>
                <c:pt idx="6">
                  <c:v>2.8571428571428572</c:v>
                </c:pt>
                <c:pt idx="7">
                  <c:v>2.5714285714285716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9-4F0E-829C-5F58E2180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710720"/>
        <c:axId val="21726528"/>
      </c:barChart>
      <c:catAx>
        <c:axId val="2171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26528"/>
        <c:crosses val="autoZero"/>
        <c:auto val="1"/>
        <c:lblAlgn val="ctr"/>
        <c:lblOffset val="100"/>
        <c:noMultiLvlLbl val="0"/>
      </c:catAx>
      <c:valAx>
        <c:axId val="2172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7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Completion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Analysis_Low!$D$7:$K$7</c:f>
              <c:numCache>
                <c:formatCode>General</c:formatCode>
                <c:ptCount val="8"/>
                <c:pt idx="0">
                  <c:v>2.5</c:v>
                </c:pt>
                <c:pt idx="1">
                  <c:v>3.7857142857142856</c:v>
                </c:pt>
                <c:pt idx="2">
                  <c:v>2.6428571428571428</c:v>
                </c:pt>
                <c:pt idx="3">
                  <c:v>3.8571428571428572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2.4285714285714284</c:v>
                </c:pt>
                <c:pt idx="7">
                  <c:v>2.7857142857142856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A-40B2-8105-4C2FE4DF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496464"/>
        <c:axId val="2091494384"/>
      </c:barChart>
      <c:catAx>
        <c:axId val="2091496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494384"/>
        <c:crosses val="autoZero"/>
        <c:auto val="1"/>
        <c:lblAlgn val="ctr"/>
        <c:lblOffset val="100"/>
        <c:noMultiLvlLbl val="0"/>
      </c:catAx>
      <c:valAx>
        <c:axId val="209149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149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Safety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Analysis_Low!$D$8:$K$8</c:f>
              <c:numCache>
                <c:formatCode>General</c:formatCode>
                <c:ptCount val="8"/>
                <c:pt idx="0">
                  <c:v>2.6428571428571428</c:v>
                </c:pt>
                <c:pt idx="1">
                  <c:v>3.7142857142857144</c:v>
                </c:pt>
                <c:pt idx="2">
                  <c:v>3.1428571428571428</c:v>
                </c:pt>
                <c:pt idx="3">
                  <c:v>3.6428571428571428</c:v>
                </c:pt>
                <c:pt idx="4">
                  <c:v>3.3571428571428572</c:v>
                </c:pt>
                <c:pt idx="5">
                  <c:v>3.5</c:v>
                </c:pt>
                <c:pt idx="6">
                  <c:v>2.7142857142857144</c:v>
                </c:pt>
                <c:pt idx="7">
                  <c:v>3.3571428571428572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0-4F4B-AE5C-4086E5A6C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88118000"/>
        <c:axId val="688107184"/>
      </c:barChart>
      <c:catAx>
        <c:axId val="688118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107184"/>
        <c:crosses val="autoZero"/>
        <c:auto val="1"/>
        <c:lblAlgn val="ctr"/>
        <c:lblOffset val="100"/>
        <c:noMultiLvlLbl val="0"/>
      </c:catAx>
      <c:valAx>
        <c:axId val="68810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11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171450</xdr:rowOff>
    </xdr:from>
    <xdr:to>
      <xdr:col>1</xdr:col>
      <xdr:colOff>2047875</xdr:colOff>
      <xdr:row>20</xdr:row>
      <xdr:rowOff>161925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" y="3752850"/>
          <a:ext cx="2038350" cy="371475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9</xdr:row>
          <xdr:rowOff>161925</xdr:rowOff>
        </xdr:from>
        <xdr:to>
          <xdr:col>1</xdr:col>
          <xdr:colOff>3009900</xdr:colOff>
          <xdr:row>11</xdr:row>
          <xdr:rowOff>47625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10</xdr:row>
          <xdr:rowOff>161925</xdr:rowOff>
        </xdr:from>
        <xdr:to>
          <xdr:col>1</xdr:col>
          <xdr:colOff>3009900</xdr:colOff>
          <xdr:row>12</xdr:row>
          <xdr:rowOff>47625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11</xdr:row>
          <xdr:rowOff>161925</xdr:rowOff>
        </xdr:from>
        <xdr:to>
          <xdr:col>1</xdr:col>
          <xdr:colOff>3009900</xdr:colOff>
          <xdr:row>13</xdr:row>
          <xdr:rowOff>47625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12</xdr:row>
          <xdr:rowOff>161925</xdr:rowOff>
        </xdr:from>
        <xdr:to>
          <xdr:col>1</xdr:col>
          <xdr:colOff>3009900</xdr:colOff>
          <xdr:row>14</xdr:row>
          <xdr:rowOff>47625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13</xdr:row>
          <xdr:rowOff>161925</xdr:rowOff>
        </xdr:from>
        <xdr:to>
          <xdr:col>1</xdr:col>
          <xdr:colOff>3009900</xdr:colOff>
          <xdr:row>15</xdr:row>
          <xdr:rowOff>47625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14</xdr:row>
          <xdr:rowOff>161925</xdr:rowOff>
        </xdr:from>
        <xdr:to>
          <xdr:col>1</xdr:col>
          <xdr:colOff>3009900</xdr:colOff>
          <xdr:row>16</xdr:row>
          <xdr:rowOff>47625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10</xdr:row>
          <xdr:rowOff>161925</xdr:rowOff>
        </xdr:from>
        <xdr:to>
          <xdr:col>4</xdr:col>
          <xdr:colOff>171450</xdr:colOff>
          <xdr:row>12</xdr:row>
          <xdr:rowOff>47625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9</xdr:row>
          <xdr:rowOff>171450</xdr:rowOff>
        </xdr:from>
        <xdr:to>
          <xdr:col>4</xdr:col>
          <xdr:colOff>171450</xdr:colOff>
          <xdr:row>11</xdr:row>
          <xdr:rowOff>57150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285749</xdr:colOff>
      <xdr:row>2</xdr:row>
      <xdr:rowOff>28575</xdr:rowOff>
    </xdr:from>
    <xdr:to>
      <xdr:col>5</xdr:col>
      <xdr:colOff>695324</xdr:colOff>
      <xdr:row>3</xdr:row>
      <xdr:rowOff>47625</xdr:rowOff>
    </xdr:to>
    <xdr:sp macro="[0]!UserFor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4999" y="457200"/>
          <a:ext cx="1933575" cy="28575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183734</xdr:colOff>
      <xdr:row>0</xdr:row>
      <xdr:rowOff>175586</xdr:rowOff>
    </xdr:from>
    <xdr:to>
      <xdr:col>31</xdr:col>
      <xdr:colOff>498967</xdr:colOff>
      <xdr:row>28</xdr:row>
      <xdr:rowOff>101736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951177</xdr:colOff>
      <xdr:row>43</xdr:row>
      <xdr:rowOff>78097</xdr:rowOff>
    </xdr:from>
    <xdr:to>
      <xdr:col>20</xdr:col>
      <xdr:colOff>420212</xdr:colOff>
      <xdr:row>64</xdr:row>
      <xdr:rowOff>50883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610728</xdr:colOff>
      <xdr:row>10</xdr:row>
      <xdr:rowOff>123358</xdr:rowOff>
    </xdr:from>
    <xdr:to>
      <xdr:col>16</xdr:col>
      <xdr:colOff>334009</xdr:colOff>
      <xdr:row>24</xdr:row>
      <xdr:rowOff>114767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332221</xdr:colOff>
      <xdr:row>27</xdr:row>
      <xdr:rowOff>115455</xdr:rowOff>
    </xdr:from>
    <xdr:to>
      <xdr:col>16</xdr:col>
      <xdr:colOff>28286</xdr:colOff>
      <xdr:row>42</xdr:row>
      <xdr:rowOff>1155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149514</xdr:colOff>
      <xdr:row>10</xdr:row>
      <xdr:rowOff>100735</xdr:rowOff>
    </xdr:from>
    <xdr:to>
      <xdr:col>22</xdr:col>
      <xdr:colOff>149514</xdr:colOff>
      <xdr:row>24</xdr:row>
      <xdr:rowOff>176935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591991</xdr:colOff>
      <xdr:row>26</xdr:row>
      <xdr:rowOff>164233</xdr:rowOff>
    </xdr:from>
    <xdr:to>
      <xdr:col>21</xdr:col>
      <xdr:colOff>591991</xdr:colOff>
      <xdr:row>41</xdr:row>
      <xdr:rowOff>49933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692726</xdr:colOff>
      <xdr:row>29</xdr:row>
      <xdr:rowOff>74466</xdr:rowOff>
    </xdr:from>
    <xdr:to>
      <xdr:col>27</xdr:col>
      <xdr:colOff>692726</xdr:colOff>
      <xdr:row>43</xdr:row>
      <xdr:rowOff>150666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A237-1137-4FC3-9DEF-A4215FC4BF3D}">
  <sheetPr codeName="Tabelle1"/>
  <dimension ref="A1:K16"/>
  <sheetViews>
    <sheetView showGridLines="0" workbookViewId="0">
      <selection sqref="A1:K1"/>
    </sheetView>
  </sheetViews>
  <sheetFormatPr defaultColWidth="10.85546875" defaultRowHeight="15" x14ac:dyDescent="0.25"/>
  <cols>
    <col min="1" max="1" width="5" customWidth="1"/>
    <col min="2" max="2" width="63.7109375" customWidth="1"/>
    <col min="3" max="3" width="26" bestFit="1" customWidth="1"/>
  </cols>
  <sheetData>
    <row r="1" spans="1:11" ht="18.75" x14ac:dyDescent="0.3">
      <c r="A1" s="10" t="s">
        <v>32</v>
      </c>
      <c r="B1" s="1"/>
      <c r="C1" s="3"/>
      <c r="D1" s="3"/>
      <c r="E1" s="3"/>
      <c r="F1" s="3"/>
      <c r="G1" s="3"/>
      <c r="H1" s="3"/>
      <c r="I1" s="3"/>
      <c r="J1" s="3"/>
      <c r="K1" s="3"/>
    </row>
    <row r="3" spans="1:11" ht="18.75" x14ac:dyDescent="0.3">
      <c r="B3" s="7" t="s">
        <v>30</v>
      </c>
    </row>
    <row r="5" spans="1:11" ht="15.75" x14ac:dyDescent="0.25">
      <c r="B5" s="8" t="s">
        <v>9</v>
      </c>
      <c r="C5" s="9" t="s">
        <v>35</v>
      </c>
    </row>
    <row r="8" spans="1:11" ht="18.75" x14ac:dyDescent="0.3">
      <c r="B8" s="7" t="s">
        <v>31</v>
      </c>
    </row>
    <row r="10" spans="1:11" x14ac:dyDescent="0.25">
      <c r="B10" s="11" t="s">
        <v>33</v>
      </c>
      <c r="C10" s="11" t="s">
        <v>34</v>
      </c>
      <c r="D10" s="4"/>
    </row>
    <row r="11" spans="1:11" x14ac:dyDescent="0.25">
      <c r="B11" t="s">
        <v>1</v>
      </c>
      <c r="C11" t="s">
        <v>7</v>
      </c>
    </row>
    <row r="12" spans="1:11" x14ac:dyDescent="0.25">
      <c r="B12" t="s">
        <v>2</v>
      </c>
      <c r="C12" t="s">
        <v>8</v>
      </c>
    </row>
    <row r="13" spans="1:11" x14ac:dyDescent="0.25">
      <c r="B13" t="s">
        <v>3</v>
      </c>
    </row>
    <row r="14" spans="1:11" x14ac:dyDescent="0.25">
      <c r="B14" t="s">
        <v>4</v>
      </c>
    </row>
    <row r="15" spans="1:11" x14ac:dyDescent="0.25">
      <c r="B15" t="s">
        <v>5</v>
      </c>
    </row>
    <row r="16" spans="1:11" x14ac:dyDescent="0.25">
      <c r="B16" t="s">
        <v>6</v>
      </c>
    </row>
  </sheetData>
  <dataValidations count="1">
    <dataValidation type="list" allowBlank="1" showInputMessage="1" showErrorMessage="1" sqref="C5" xr:uid="{F78AC970-46E8-4C4C-A0D4-27EEA6266B81}">
      <formula1>"Low,Medium,High"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1</xdr:col>
                    <xdr:colOff>2647950</xdr:colOff>
                    <xdr:row>9</xdr:row>
                    <xdr:rowOff>161925</xdr:rowOff>
                  </from>
                  <to>
                    <xdr:col>1</xdr:col>
                    <xdr:colOff>3009900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 moveWithCells="1">
                  <from>
                    <xdr:col>1</xdr:col>
                    <xdr:colOff>2647950</xdr:colOff>
                    <xdr:row>10</xdr:row>
                    <xdr:rowOff>161925</xdr:rowOff>
                  </from>
                  <to>
                    <xdr:col>1</xdr:col>
                    <xdr:colOff>3009900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 moveWithCells="1">
                  <from>
                    <xdr:col>1</xdr:col>
                    <xdr:colOff>2647950</xdr:colOff>
                    <xdr:row>11</xdr:row>
                    <xdr:rowOff>161925</xdr:rowOff>
                  </from>
                  <to>
                    <xdr:col>1</xdr:col>
                    <xdr:colOff>3009900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Check Box 5">
              <controlPr defaultSize="0" autoFill="0" autoLine="0" autoPict="0">
                <anchor moveWithCells="1">
                  <from>
                    <xdr:col>1</xdr:col>
                    <xdr:colOff>2647950</xdr:colOff>
                    <xdr:row>12</xdr:row>
                    <xdr:rowOff>161925</xdr:rowOff>
                  </from>
                  <to>
                    <xdr:col>1</xdr:col>
                    <xdr:colOff>3009900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Check Box 6">
              <controlPr defaultSize="0" autoFill="0" autoLine="0" autoPict="0">
                <anchor moveWithCells="1">
                  <from>
                    <xdr:col>1</xdr:col>
                    <xdr:colOff>2647950</xdr:colOff>
                    <xdr:row>13</xdr:row>
                    <xdr:rowOff>161925</xdr:rowOff>
                  </from>
                  <to>
                    <xdr:col>1</xdr:col>
                    <xdr:colOff>3009900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Check Box 7">
              <controlPr defaultSize="0" autoFill="0" autoLine="0" autoPict="0">
                <anchor moveWithCells="1">
                  <from>
                    <xdr:col>1</xdr:col>
                    <xdr:colOff>2647950</xdr:colOff>
                    <xdr:row>14</xdr:row>
                    <xdr:rowOff>161925</xdr:rowOff>
                  </from>
                  <to>
                    <xdr:col>1</xdr:col>
                    <xdr:colOff>3009900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Check Box 8">
              <controlPr defaultSize="0" autoFill="0" autoLine="0" autoPict="0">
                <anchor moveWithCells="1">
                  <from>
                    <xdr:col>3</xdr:col>
                    <xdr:colOff>571500</xdr:colOff>
                    <xdr:row>10</xdr:row>
                    <xdr:rowOff>161925</xdr:rowOff>
                  </from>
                  <to>
                    <xdr:col>4</xdr:col>
                    <xdr:colOff>171450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Check Box 9">
              <controlPr defaultSize="0" autoFill="0" autoLine="0" autoPict="0">
                <anchor moveWithCells="1">
                  <from>
                    <xdr:col>3</xdr:col>
                    <xdr:colOff>571500</xdr:colOff>
                    <xdr:row>9</xdr:row>
                    <xdr:rowOff>171450</xdr:rowOff>
                  </from>
                  <to>
                    <xdr:col>4</xdr:col>
                    <xdr:colOff>171450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DA1FA-0EB3-4983-A6A2-D8B30D03829F}">
  <sheetPr codeName="Tabelle2"/>
  <dimension ref="A1:K6"/>
  <sheetViews>
    <sheetView showGridLines="0" tabSelected="1" workbookViewId="0">
      <selection activeCell="G17" sqref="G17"/>
    </sheetView>
  </sheetViews>
  <sheetFormatPr defaultColWidth="10.85546875" defaultRowHeight="15" x14ac:dyDescent="0.25"/>
  <cols>
    <col min="1" max="1" width="1.42578125" customWidth="1"/>
  </cols>
  <sheetData>
    <row r="1" spans="1:11" ht="18.75" x14ac:dyDescent="0.3">
      <c r="A1" s="10" t="s">
        <v>32</v>
      </c>
      <c r="B1" s="1"/>
      <c r="C1" s="3"/>
      <c r="D1" s="3"/>
      <c r="E1" s="3"/>
      <c r="F1" s="3"/>
      <c r="G1" s="3"/>
      <c r="H1" s="3"/>
      <c r="I1" s="3"/>
      <c r="J1" s="3"/>
      <c r="K1" s="3"/>
    </row>
    <row r="3" spans="1:11" ht="18" x14ac:dyDescent="0.25">
      <c r="B3" s="17" t="s">
        <v>36</v>
      </c>
    </row>
    <row r="6" spans="1:11" ht="18.75" x14ac:dyDescent="0.3">
      <c r="B6" s="14" t="s">
        <v>47</v>
      </c>
      <c r="D6" s="15" t="s">
        <v>41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913E-EDEB-4712-8E4F-963D0CFE0588}">
  <sheetPr codeName="Tabelle8"/>
  <dimension ref="A2:M72"/>
  <sheetViews>
    <sheetView showGridLines="0" zoomScale="67" workbookViewId="0">
      <selection activeCell="F44" sqref="F44"/>
    </sheetView>
  </sheetViews>
  <sheetFormatPr defaultColWidth="10.85546875" defaultRowHeight="15" x14ac:dyDescent="0.25"/>
  <cols>
    <col min="2" max="2" width="16.85546875" bestFit="1" customWidth="1"/>
    <col min="3" max="3" width="7.140625" bestFit="1" customWidth="1"/>
    <col min="4" max="4" width="18.85546875" bestFit="1" customWidth="1"/>
    <col min="5" max="5" width="8.5703125" bestFit="1" customWidth="1"/>
    <col min="6" max="6" width="29.28515625" bestFit="1" customWidth="1"/>
    <col min="7" max="7" width="8.5703125" bestFit="1" customWidth="1"/>
    <col min="8" max="8" width="40.5703125" bestFit="1" customWidth="1"/>
    <col min="9" max="9" width="24" bestFit="1" customWidth="1"/>
    <col min="10" max="10" width="28.42578125" bestFit="1" customWidth="1"/>
    <col min="11" max="11" width="13.42578125" bestFit="1" customWidth="1"/>
    <col min="12" max="12" width="9.85546875" bestFit="1" customWidth="1"/>
    <col min="13" max="13" width="31" bestFit="1" customWidth="1"/>
  </cols>
  <sheetData>
    <row r="2" spans="1:13" x14ac:dyDescent="0.2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" t="s">
        <v>42</v>
      </c>
      <c r="J2" s="13" t="s">
        <v>39</v>
      </c>
      <c r="K2" s="1" t="s">
        <v>9</v>
      </c>
      <c r="L2" s="1" t="s">
        <v>10</v>
      </c>
      <c r="M2" s="1" t="s">
        <v>11</v>
      </c>
    </row>
    <row r="3" spans="1:13" x14ac:dyDescent="0.25">
      <c r="A3">
        <v>1</v>
      </c>
      <c r="B3" t="s">
        <v>12</v>
      </c>
      <c r="C3" s="18">
        <v>3</v>
      </c>
      <c r="D3" s="18">
        <v>5</v>
      </c>
      <c r="E3" s="18">
        <v>3</v>
      </c>
      <c r="F3" s="18">
        <v>4</v>
      </c>
      <c r="G3" s="18">
        <v>5</v>
      </c>
      <c r="H3" s="18">
        <v>1</v>
      </c>
      <c r="I3" s="18">
        <v>3</v>
      </c>
      <c r="J3" s="18">
        <v>4</v>
      </c>
      <c r="K3" t="s">
        <v>13</v>
      </c>
      <c r="L3" s="20">
        <v>20</v>
      </c>
      <c r="M3" s="22" t="s">
        <v>14</v>
      </c>
    </row>
    <row r="4" spans="1:13" x14ac:dyDescent="0.25">
      <c r="A4">
        <v>1</v>
      </c>
      <c r="B4" t="s">
        <v>15</v>
      </c>
      <c r="C4" s="19">
        <v>1</v>
      </c>
      <c r="D4" s="19">
        <v>3</v>
      </c>
      <c r="E4" s="19">
        <v>3</v>
      </c>
      <c r="F4" s="19">
        <v>5</v>
      </c>
      <c r="G4" s="19">
        <v>4</v>
      </c>
      <c r="H4" s="19">
        <v>5</v>
      </c>
      <c r="I4" s="19">
        <v>2</v>
      </c>
      <c r="J4" s="19">
        <v>5</v>
      </c>
      <c r="K4" t="s">
        <v>13</v>
      </c>
      <c r="L4" s="20">
        <v>42</v>
      </c>
      <c r="M4" s="23" t="s">
        <v>14</v>
      </c>
    </row>
    <row r="5" spans="1:13" x14ac:dyDescent="0.25">
      <c r="A5">
        <v>1</v>
      </c>
      <c r="B5" t="s">
        <v>16</v>
      </c>
      <c r="C5" s="18">
        <v>2</v>
      </c>
      <c r="D5" s="18">
        <v>2</v>
      </c>
      <c r="E5" s="18">
        <v>5</v>
      </c>
      <c r="F5" s="18">
        <v>5</v>
      </c>
      <c r="G5" s="18">
        <v>4</v>
      </c>
      <c r="H5" s="18">
        <v>5</v>
      </c>
      <c r="I5" s="18">
        <v>3</v>
      </c>
      <c r="J5" s="18">
        <v>3</v>
      </c>
      <c r="K5" t="s">
        <v>13</v>
      </c>
      <c r="L5" s="20">
        <v>30</v>
      </c>
      <c r="M5" s="22" t="s">
        <v>14</v>
      </c>
    </row>
    <row r="6" spans="1:13" x14ac:dyDescent="0.25">
      <c r="A6">
        <v>1</v>
      </c>
      <c r="B6" t="s">
        <v>17</v>
      </c>
      <c r="C6" s="19">
        <v>2</v>
      </c>
      <c r="D6" s="19">
        <v>3</v>
      </c>
      <c r="E6" s="19">
        <v>4</v>
      </c>
      <c r="F6" s="19">
        <v>4</v>
      </c>
      <c r="G6" s="19">
        <v>4</v>
      </c>
      <c r="H6" s="19">
        <v>5</v>
      </c>
      <c r="I6" s="19">
        <v>1</v>
      </c>
      <c r="J6" s="19">
        <v>4</v>
      </c>
      <c r="K6" t="s">
        <v>13</v>
      </c>
      <c r="L6" s="20">
        <v>8</v>
      </c>
      <c r="M6" s="23" t="s">
        <v>14</v>
      </c>
    </row>
    <row r="7" spans="1:13" x14ac:dyDescent="0.25">
      <c r="A7">
        <v>1</v>
      </c>
      <c r="B7" t="s">
        <v>21</v>
      </c>
      <c r="C7" s="18">
        <v>5</v>
      </c>
      <c r="D7" s="18">
        <v>5</v>
      </c>
      <c r="E7" s="18">
        <v>4</v>
      </c>
      <c r="F7" s="18">
        <v>3</v>
      </c>
      <c r="G7" s="18">
        <v>3</v>
      </c>
      <c r="H7" s="18">
        <v>1</v>
      </c>
      <c r="I7" s="18">
        <v>5</v>
      </c>
      <c r="J7" s="18">
        <v>3</v>
      </c>
      <c r="K7" t="s">
        <v>13</v>
      </c>
      <c r="L7" s="20">
        <v>20</v>
      </c>
      <c r="M7" s="22" t="s">
        <v>18</v>
      </c>
    </row>
    <row r="8" spans="1:13" x14ac:dyDescent="0.25">
      <c r="A8">
        <v>2</v>
      </c>
      <c r="B8" t="s">
        <v>12</v>
      </c>
      <c r="C8" s="19">
        <v>3</v>
      </c>
      <c r="D8" s="19">
        <v>4</v>
      </c>
      <c r="E8" s="19">
        <v>2</v>
      </c>
      <c r="F8" s="19">
        <v>5</v>
      </c>
      <c r="G8" s="19">
        <v>4</v>
      </c>
      <c r="H8" s="19">
        <v>5</v>
      </c>
      <c r="I8" s="19">
        <v>2</v>
      </c>
      <c r="J8" s="19">
        <v>4</v>
      </c>
      <c r="K8" t="s">
        <v>13</v>
      </c>
      <c r="L8" s="20">
        <v>50</v>
      </c>
      <c r="M8" s="23" t="s">
        <v>18</v>
      </c>
    </row>
    <row r="9" spans="1:13" x14ac:dyDescent="0.25">
      <c r="A9">
        <v>2</v>
      </c>
      <c r="B9" t="s">
        <v>15</v>
      </c>
      <c r="C9" s="18">
        <v>2</v>
      </c>
      <c r="D9" s="18">
        <v>4</v>
      </c>
      <c r="E9" s="18">
        <v>1</v>
      </c>
      <c r="F9" s="18">
        <v>4</v>
      </c>
      <c r="G9" s="18">
        <v>3</v>
      </c>
      <c r="H9" s="18">
        <v>5</v>
      </c>
      <c r="I9" s="18">
        <v>2</v>
      </c>
      <c r="J9" s="18">
        <v>3</v>
      </c>
      <c r="K9" t="s">
        <v>13</v>
      </c>
      <c r="L9" s="20">
        <v>20</v>
      </c>
      <c r="M9" s="22" t="s">
        <v>18</v>
      </c>
    </row>
    <row r="10" spans="1:13" x14ac:dyDescent="0.25">
      <c r="A10">
        <v>2</v>
      </c>
      <c r="B10" t="s">
        <v>16</v>
      </c>
      <c r="C10" s="19">
        <v>4</v>
      </c>
      <c r="D10" s="19">
        <v>3</v>
      </c>
      <c r="E10" s="19">
        <v>1</v>
      </c>
      <c r="F10" s="19">
        <v>4</v>
      </c>
      <c r="G10" s="19">
        <v>2</v>
      </c>
      <c r="H10" s="19">
        <v>5</v>
      </c>
      <c r="I10" s="19">
        <v>4</v>
      </c>
      <c r="J10" s="19">
        <v>2</v>
      </c>
      <c r="K10" t="s">
        <v>13</v>
      </c>
      <c r="L10" s="20">
        <v>10</v>
      </c>
      <c r="M10" s="23" t="s">
        <v>18</v>
      </c>
    </row>
    <row r="11" spans="1:13" x14ac:dyDescent="0.25">
      <c r="A11">
        <v>2</v>
      </c>
      <c r="B11" t="s">
        <v>17</v>
      </c>
      <c r="C11" s="18">
        <v>3</v>
      </c>
      <c r="D11" s="18">
        <v>4</v>
      </c>
      <c r="E11" s="18">
        <v>5</v>
      </c>
      <c r="F11" s="18">
        <v>5</v>
      </c>
      <c r="G11" s="18">
        <v>5</v>
      </c>
      <c r="H11" s="18">
        <v>5</v>
      </c>
      <c r="I11" s="18">
        <v>3</v>
      </c>
      <c r="J11" s="18">
        <v>5</v>
      </c>
      <c r="K11" t="s">
        <v>13</v>
      </c>
      <c r="L11" s="20">
        <v>15</v>
      </c>
      <c r="M11" s="22" t="s">
        <v>18</v>
      </c>
    </row>
    <row r="12" spans="1:13" x14ac:dyDescent="0.25">
      <c r="A12">
        <v>2</v>
      </c>
      <c r="B12" t="s">
        <v>21</v>
      </c>
      <c r="C12" s="19">
        <v>4</v>
      </c>
      <c r="D12" s="19">
        <v>4</v>
      </c>
      <c r="E12" s="19">
        <v>1</v>
      </c>
      <c r="F12" s="19">
        <v>5</v>
      </c>
      <c r="G12" s="19">
        <v>1</v>
      </c>
      <c r="H12" s="19">
        <v>2</v>
      </c>
      <c r="I12" s="19">
        <v>3</v>
      </c>
      <c r="J12" s="19">
        <v>4</v>
      </c>
      <c r="K12" t="s">
        <v>13</v>
      </c>
      <c r="L12" s="20">
        <v>5</v>
      </c>
      <c r="M12" s="23" t="s">
        <v>48</v>
      </c>
    </row>
    <row r="13" spans="1:13" x14ac:dyDescent="0.25">
      <c r="A13">
        <v>3</v>
      </c>
      <c r="B13" t="s">
        <v>12</v>
      </c>
      <c r="C13" s="18">
        <v>4</v>
      </c>
      <c r="D13" s="18">
        <v>4</v>
      </c>
      <c r="E13" s="18">
        <v>2</v>
      </c>
      <c r="F13" s="18">
        <v>4</v>
      </c>
      <c r="G13" s="18">
        <v>2</v>
      </c>
      <c r="H13" s="18">
        <v>4</v>
      </c>
      <c r="I13" s="18">
        <v>1</v>
      </c>
      <c r="J13" s="18">
        <v>2</v>
      </c>
      <c r="K13" t="s">
        <v>13</v>
      </c>
      <c r="L13" s="20">
        <v>20</v>
      </c>
      <c r="M13" s="22" t="s">
        <v>48</v>
      </c>
    </row>
    <row r="14" spans="1:13" x14ac:dyDescent="0.25">
      <c r="A14">
        <v>3</v>
      </c>
      <c r="B14" t="s">
        <v>15</v>
      </c>
      <c r="C14" s="19">
        <v>4</v>
      </c>
      <c r="D14" s="19">
        <v>3</v>
      </c>
      <c r="E14" s="19">
        <v>3</v>
      </c>
      <c r="F14" s="19">
        <v>5</v>
      </c>
      <c r="G14" s="19">
        <v>2</v>
      </c>
      <c r="H14" s="19">
        <v>3</v>
      </c>
      <c r="I14" s="19">
        <v>3</v>
      </c>
      <c r="J14" s="19">
        <v>2</v>
      </c>
      <c r="K14" t="s">
        <v>13</v>
      </c>
      <c r="L14" s="20">
        <v>25</v>
      </c>
      <c r="M14" s="23" t="s">
        <v>48</v>
      </c>
    </row>
    <row r="15" spans="1:13" x14ac:dyDescent="0.25">
      <c r="A15">
        <v>3</v>
      </c>
      <c r="B15" t="s">
        <v>16</v>
      </c>
      <c r="C15" s="18">
        <v>4</v>
      </c>
      <c r="D15" s="18">
        <v>2</v>
      </c>
      <c r="E15" s="18">
        <v>1</v>
      </c>
      <c r="F15" s="18">
        <v>3</v>
      </c>
      <c r="G15" s="18">
        <v>1</v>
      </c>
      <c r="H15" s="18">
        <v>2</v>
      </c>
      <c r="I15" s="18">
        <v>4</v>
      </c>
      <c r="J15" s="18">
        <v>1</v>
      </c>
      <c r="K15" t="s">
        <v>13</v>
      </c>
      <c r="L15" s="20">
        <v>20</v>
      </c>
      <c r="M15" s="22" t="s">
        <v>48</v>
      </c>
    </row>
    <row r="16" spans="1:13" x14ac:dyDescent="0.25">
      <c r="A16">
        <v>3</v>
      </c>
      <c r="B16" t="s">
        <v>17</v>
      </c>
      <c r="C16" s="19">
        <v>4</v>
      </c>
      <c r="D16" s="19">
        <v>4</v>
      </c>
      <c r="E16" s="19">
        <v>2</v>
      </c>
      <c r="F16" s="19">
        <v>5</v>
      </c>
      <c r="G16" s="19">
        <v>3</v>
      </c>
      <c r="H16" s="19">
        <v>5</v>
      </c>
      <c r="I16" s="19">
        <v>4</v>
      </c>
      <c r="J16" s="19">
        <v>4</v>
      </c>
      <c r="K16" t="s">
        <v>13</v>
      </c>
      <c r="L16" s="20">
        <v>30</v>
      </c>
      <c r="M16" s="23" t="s">
        <v>48</v>
      </c>
    </row>
    <row r="17" spans="1:13" x14ac:dyDescent="0.25">
      <c r="A17">
        <v>3</v>
      </c>
      <c r="B17" t="s">
        <v>21</v>
      </c>
      <c r="C17" s="18">
        <v>2</v>
      </c>
      <c r="D17" s="18">
        <v>3</v>
      </c>
      <c r="E17" s="18">
        <v>2</v>
      </c>
      <c r="F17" s="18">
        <v>3</v>
      </c>
      <c r="G17" s="18">
        <v>3</v>
      </c>
      <c r="H17" s="18">
        <v>2</v>
      </c>
      <c r="I17" s="18">
        <v>1</v>
      </c>
      <c r="J17" s="18">
        <v>2</v>
      </c>
      <c r="K17" t="s">
        <v>13</v>
      </c>
      <c r="L17" s="20">
        <v>10</v>
      </c>
      <c r="M17" s="22" t="s">
        <v>18</v>
      </c>
    </row>
    <row r="18" spans="1:13" x14ac:dyDescent="0.25">
      <c r="A18">
        <v>4</v>
      </c>
      <c r="B18" t="s">
        <v>12</v>
      </c>
      <c r="C18" s="19">
        <v>2</v>
      </c>
      <c r="D18" s="19">
        <v>3</v>
      </c>
      <c r="E18" s="19">
        <v>3</v>
      </c>
      <c r="F18" s="19">
        <v>3</v>
      </c>
      <c r="G18" s="19">
        <v>3</v>
      </c>
      <c r="H18" s="19">
        <v>2</v>
      </c>
      <c r="I18" s="19">
        <v>2</v>
      </c>
      <c r="J18" s="19">
        <v>2</v>
      </c>
      <c r="K18" t="s">
        <v>13</v>
      </c>
      <c r="L18" s="21">
        <v>35</v>
      </c>
      <c r="M18" s="23" t="s">
        <v>18</v>
      </c>
    </row>
    <row r="19" spans="1:13" x14ac:dyDescent="0.25">
      <c r="A19">
        <v>4</v>
      </c>
      <c r="B19" t="s">
        <v>15</v>
      </c>
      <c r="C19" s="18">
        <v>2</v>
      </c>
      <c r="D19" s="18">
        <v>4</v>
      </c>
      <c r="E19" s="18">
        <v>2</v>
      </c>
      <c r="F19" s="18">
        <v>4</v>
      </c>
      <c r="G19" s="18">
        <v>2</v>
      </c>
      <c r="H19" s="18">
        <v>2</v>
      </c>
      <c r="I19" s="18">
        <v>1</v>
      </c>
      <c r="J19" s="18">
        <v>2</v>
      </c>
      <c r="K19" t="s">
        <v>13</v>
      </c>
      <c r="L19" s="21">
        <v>35</v>
      </c>
      <c r="M19" s="22" t="s">
        <v>18</v>
      </c>
    </row>
    <row r="20" spans="1:13" x14ac:dyDescent="0.25">
      <c r="A20">
        <v>4</v>
      </c>
      <c r="B20" t="s">
        <v>16</v>
      </c>
      <c r="C20" s="19">
        <v>3</v>
      </c>
      <c r="D20" s="19">
        <v>3</v>
      </c>
      <c r="E20" s="19">
        <v>3</v>
      </c>
      <c r="F20" s="19">
        <v>3</v>
      </c>
      <c r="G20" s="19">
        <v>3</v>
      </c>
      <c r="H20" s="19">
        <v>3</v>
      </c>
      <c r="I20" s="19">
        <v>1</v>
      </c>
      <c r="J20" s="19">
        <v>2</v>
      </c>
      <c r="K20" t="s">
        <v>13</v>
      </c>
      <c r="L20" s="21">
        <v>10</v>
      </c>
      <c r="M20" s="23" t="s">
        <v>18</v>
      </c>
    </row>
    <row r="21" spans="1:13" x14ac:dyDescent="0.25">
      <c r="A21">
        <v>4</v>
      </c>
      <c r="B21" t="s">
        <v>17</v>
      </c>
      <c r="C21" s="18">
        <v>2</v>
      </c>
      <c r="D21" s="18">
        <v>2</v>
      </c>
      <c r="E21" s="18">
        <v>2</v>
      </c>
      <c r="F21" s="18">
        <v>2</v>
      </c>
      <c r="G21" s="18">
        <v>2</v>
      </c>
      <c r="H21" s="18">
        <v>2</v>
      </c>
      <c r="I21" s="18">
        <v>2</v>
      </c>
      <c r="J21" s="18">
        <v>2</v>
      </c>
      <c r="K21" t="s">
        <v>13</v>
      </c>
      <c r="L21" s="21">
        <v>10</v>
      </c>
      <c r="M21" s="22" t="s">
        <v>18</v>
      </c>
    </row>
    <row r="22" spans="1:13" x14ac:dyDescent="0.25">
      <c r="A22">
        <v>4</v>
      </c>
      <c r="B22" t="s">
        <v>21</v>
      </c>
      <c r="C22" s="19">
        <v>3</v>
      </c>
      <c r="D22" s="19">
        <v>3</v>
      </c>
      <c r="E22" s="19">
        <v>1</v>
      </c>
      <c r="F22" s="19">
        <v>4</v>
      </c>
      <c r="G22" s="19">
        <v>2</v>
      </c>
      <c r="H22" s="19">
        <v>1</v>
      </c>
      <c r="I22" s="19">
        <v>4</v>
      </c>
      <c r="J22" s="19">
        <v>3</v>
      </c>
      <c r="K22" t="s">
        <v>13</v>
      </c>
      <c r="L22" s="21">
        <v>25</v>
      </c>
      <c r="M22" s="23" t="s">
        <v>49</v>
      </c>
    </row>
    <row r="23" spans="1:13" x14ac:dyDescent="0.25">
      <c r="A23">
        <v>5</v>
      </c>
      <c r="B23" t="s">
        <v>12</v>
      </c>
      <c r="C23" s="18">
        <v>2</v>
      </c>
      <c r="D23" s="18">
        <v>3</v>
      </c>
      <c r="E23" s="18">
        <v>1</v>
      </c>
      <c r="F23" s="18">
        <v>3</v>
      </c>
      <c r="G23" s="18">
        <v>4</v>
      </c>
      <c r="H23" s="18">
        <v>5</v>
      </c>
      <c r="I23" s="18">
        <v>2</v>
      </c>
      <c r="J23" s="18">
        <v>3</v>
      </c>
      <c r="K23" t="s">
        <v>13</v>
      </c>
      <c r="L23" s="21">
        <v>15</v>
      </c>
      <c r="M23" s="22" t="s">
        <v>49</v>
      </c>
    </row>
    <row r="24" spans="1:13" x14ac:dyDescent="0.25">
      <c r="A24">
        <v>5</v>
      </c>
      <c r="B24" t="s">
        <v>15</v>
      </c>
      <c r="C24" s="19">
        <v>3</v>
      </c>
      <c r="D24" s="19">
        <v>5</v>
      </c>
      <c r="E24" s="19">
        <v>2</v>
      </c>
      <c r="F24" s="19">
        <v>4</v>
      </c>
      <c r="G24" s="19">
        <v>3</v>
      </c>
      <c r="H24" s="19">
        <v>4</v>
      </c>
      <c r="I24" s="19">
        <v>2</v>
      </c>
      <c r="J24" s="19">
        <v>2</v>
      </c>
      <c r="K24" t="s">
        <v>13</v>
      </c>
      <c r="L24" s="21">
        <v>20</v>
      </c>
      <c r="M24" s="23" t="s">
        <v>49</v>
      </c>
    </row>
    <row r="25" spans="1:13" x14ac:dyDescent="0.25">
      <c r="A25">
        <v>5</v>
      </c>
      <c r="B25" t="s">
        <v>16</v>
      </c>
      <c r="C25" s="18">
        <v>4</v>
      </c>
      <c r="D25" s="18">
        <v>3</v>
      </c>
      <c r="E25" s="18">
        <v>2</v>
      </c>
      <c r="F25" s="18">
        <v>4</v>
      </c>
      <c r="G25" s="18">
        <v>2</v>
      </c>
      <c r="H25" s="18">
        <v>1</v>
      </c>
      <c r="I25" s="18">
        <v>3</v>
      </c>
      <c r="J25" s="18">
        <v>2</v>
      </c>
      <c r="K25" t="s">
        <v>13</v>
      </c>
      <c r="L25" s="21">
        <v>25</v>
      </c>
      <c r="M25" s="22" t="s">
        <v>49</v>
      </c>
    </row>
    <row r="26" spans="1:13" x14ac:dyDescent="0.25">
      <c r="A26">
        <v>5</v>
      </c>
      <c r="B26" t="s">
        <v>17</v>
      </c>
      <c r="C26" s="19">
        <v>3</v>
      </c>
      <c r="D26" s="19">
        <v>4</v>
      </c>
      <c r="E26" s="19">
        <v>3</v>
      </c>
      <c r="F26" s="19">
        <v>4</v>
      </c>
      <c r="G26" s="19">
        <v>3</v>
      </c>
      <c r="H26" s="19">
        <v>4</v>
      </c>
      <c r="I26" s="19">
        <v>3</v>
      </c>
      <c r="J26" s="19">
        <v>2</v>
      </c>
      <c r="K26" t="s">
        <v>13</v>
      </c>
      <c r="L26" s="21">
        <v>15</v>
      </c>
      <c r="M26" s="23" t="s">
        <v>49</v>
      </c>
    </row>
    <row r="27" spans="1:13" x14ac:dyDescent="0.25">
      <c r="A27">
        <v>5</v>
      </c>
      <c r="B27" t="s">
        <v>21</v>
      </c>
      <c r="C27" s="18">
        <v>4</v>
      </c>
      <c r="D27" s="18">
        <v>5</v>
      </c>
      <c r="E27" s="18">
        <v>1</v>
      </c>
      <c r="F27" s="18">
        <v>5</v>
      </c>
      <c r="G27" s="18">
        <v>2</v>
      </c>
      <c r="H27" s="18">
        <v>5</v>
      </c>
      <c r="I27" s="18">
        <v>3</v>
      </c>
      <c r="J27" s="18">
        <v>5</v>
      </c>
      <c r="K27" t="s">
        <v>13</v>
      </c>
      <c r="L27" s="20">
        <v>10</v>
      </c>
      <c r="M27" s="24" t="s">
        <v>50</v>
      </c>
    </row>
    <row r="28" spans="1:13" x14ac:dyDescent="0.25">
      <c r="A28">
        <v>6</v>
      </c>
      <c r="B28" t="s">
        <v>12</v>
      </c>
      <c r="C28" s="19">
        <v>3</v>
      </c>
      <c r="D28" s="19">
        <v>5</v>
      </c>
      <c r="E28" s="19">
        <v>2</v>
      </c>
      <c r="F28" s="19">
        <v>5</v>
      </c>
      <c r="G28" s="19">
        <v>5</v>
      </c>
      <c r="H28" s="19">
        <v>5</v>
      </c>
      <c r="I28" s="19">
        <v>3</v>
      </c>
      <c r="J28" s="19">
        <v>5</v>
      </c>
      <c r="K28" t="s">
        <v>13</v>
      </c>
      <c r="L28" s="21">
        <v>50</v>
      </c>
      <c r="M28" s="24" t="s">
        <v>50</v>
      </c>
    </row>
    <row r="29" spans="1:13" x14ac:dyDescent="0.25">
      <c r="A29">
        <v>6</v>
      </c>
      <c r="B29" t="s">
        <v>15</v>
      </c>
      <c r="C29" s="18">
        <v>5</v>
      </c>
      <c r="D29" s="18">
        <v>4</v>
      </c>
      <c r="E29" s="18">
        <v>1</v>
      </c>
      <c r="F29" s="18">
        <v>4</v>
      </c>
      <c r="G29" s="18">
        <v>1</v>
      </c>
      <c r="H29" s="18">
        <v>1</v>
      </c>
      <c r="I29" s="18">
        <v>3</v>
      </c>
      <c r="J29" s="18">
        <v>4</v>
      </c>
      <c r="K29" t="s">
        <v>13</v>
      </c>
      <c r="L29" s="21">
        <v>10</v>
      </c>
      <c r="M29" s="24" t="s">
        <v>50</v>
      </c>
    </row>
    <row r="30" spans="1:13" x14ac:dyDescent="0.25">
      <c r="A30">
        <v>6</v>
      </c>
      <c r="B30" t="s">
        <v>16</v>
      </c>
      <c r="C30" s="19">
        <v>5</v>
      </c>
      <c r="D30" s="19">
        <v>1</v>
      </c>
      <c r="E30" s="19">
        <v>2</v>
      </c>
      <c r="F30" s="19">
        <v>1</v>
      </c>
      <c r="G30" s="19">
        <v>1</v>
      </c>
      <c r="H30" s="19">
        <v>1</v>
      </c>
      <c r="I30" s="19">
        <v>3</v>
      </c>
      <c r="J30" s="19">
        <v>2</v>
      </c>
      <c r="K30" t="s">
        <v>13</v>
      </c>
      <c r="L30" s="21">
        <v>20</v>
      </c>
      <c r="M30" s="24" t="s">
        <v>50</v>
      </c>
    </row>
    <row r="31" spans="1:13" x14ac:dyDescent="0.25">
      <c r="A31">
        <v>6</v>
      </c>
      <c r="B31" t="s">
        <v>17</v>
      </c>
      <c r="C31" s="18">
        <v>2</v>
      </c>
      <c r="D31" s="18">
        <v>4</v>
      </c>
      <c r="E31" s="18">
        <v>1</v>
      </c>
      <c r="F31" s="18">
        <v>4</v>
      </c>
      <c r="G31" s="18">
        <v>4</v>
      </c>
      <c r="H31" s="18">
        <v>5</v>
      </c>
      <c r="I31" s="18">
        <v>3</v>
      </c>
      <c r="J31" s="18">
        <v>4</v>
      </c>
      <c r="K31" t="s">
        <v>13</v>
      </c>
      <c r="L31" s="21">
        <v>10</v>
      </c>
      <c r="M31" s="24" t="s">
        <v>50</v>
      </c>
    </row>
    <row r="32" spans="1:13" x14ac:dyDescent="0.25">
      <c r="A32">
        <v>6</v>
      </c>
      <c r="B32" t="s">
        <v>21</v>
      </c>
      <c r="K32" t="s">
        <v>13</v>
      </c>
    </row>
    <row r="33" spans="1:11" x14ac:dyDescent="0.25">
      <c r="A33">
        <v>7</v>
      </c>
      <c r="B33" t="s">
        <v>12</v>
      </c>
      <c r="K33" t="s">
        <v>13</v>
      </c>
    </row>
    <row r="34" spans="1:11" x14ac:dyDescent="0.25">
      <c r="A34">
        <v>7</v>
      </c>
      <c r="B34" t="s">
        <v>15</v>
      </c>
      <c r="K34" t="s">
        <v>13</v>
      </c>
    </row>
    <row r="35" spans="1:11" x14ac:dyDescent="0.25">
      <c r="A35">
        <v>7</v>
      </c>
      <c r="B35" t="s">
        <v>16</v>
      </c>
      <c r="K35" t="s">
        <v>13</v>
      </c>
    </row>
    <row r="36" spans="1:11" x14ac:dyDescent="0.25">
      <c r="A36">
        <v>7</v>
      </c>
      <c r="B36" t="s">
        <v>17</v>
      </c>
      <c r="K36" t="s">
        <v>13</v>
      </c>
    </row>
    <row r="37" spans="1:11" x14ac:dyDescent="0.25">
      <c r="A37">
        <v>7</v>
      </c>
      <c r="B37" t="s">
        <v>21</v>
      </c>
      <c r="K37" t="s">
        <v>13</v>
      </c>
    </row>
    <row r="38" spans="1:11" x14ac:dyDescent="0.25">
      <c r="A38">
        <v>8</v>
      </c>
      <c r="B38" t="s">
        <v>12</v>
      </c>
      <c r="K38" t="s">
        <v>13</v>
      </c>
    </row>
    <row r="39" spans="1:11" x14ac:dyDescent="0.25">
      <c r="A39">
        <v>8</v>
      </c>
      <c r="B39" t="s">
        <v>15</v>
      </c>
      <c r="K39" t="s">
        <v>13</v>
      </c>
    </row>
    <row r="40" spans="1:11" x14ac:dyDescent="0.25">
      <c r="A40">
        <v>8</v>
      </c>
      <c r="B40" t="s">
        <v>16</v>
      </c>
      <c r="K40" t="s">
        <v>13</v>
      </c>
    </row>
    <row r="41" spans="1:11" x14ac:dyDescent="0.25">
      <c r="A41">
        <v>8</v>
      </c>
      <c r="B41" t="s">
        <v>17</v>
      </c>
      <c r="K41" t="s">
        <v>13</v>
      </c>
    </row>
    <row r="42" spans="1:11" x14ac:dyDescent="0.25">
      <c r="A42">
        <v>8</v>
      </c>
      <c r="B42" t="s">
        <v>21</v>
      </c>
      <c r="K42" t="s">
        <v>13</v>
      </c>
    </row>
    <row r="43" spans="1:11" x14ac:dyDescent="0.25">
      <c r="A43">
        <v>9</v>
      </c>
      <c r="B43" t="s">
        <v>12</v>
      </c>
      <c r="K43" t="s">
        <v>13</v>
      </c>
    </row>
    <row r="44" spans="1:11" x14ac:dyDescent="0.25">
      <c r="A44">
        <v>9</v>
      </c>
      <c r="B44" t="s">
        <v>15</v>
      </c>
      <c r="K44" t="s">
        <v>13</v>
      </c>
    </row>
    <row r="45" spans="1:11" x14ac:dyDescent="0.25">
      <c r="A45">
        <v>9</v>
      </c>
      <c r="B45" t="s">
        <v>16</v>
      </c>
      <c r="K45" t="s">
        <v>13</v>
      </c>
    </row>
    <row r="46" spans="1:11" x14ac:dyDescent="0.25">
      <c r="A46">
        <v>9</v>
      </c>
      <c r="B46" t="s">
        <v>17</v>
      </c>
      <c r="K46" t="s">
        <v>13</v>
      </c>
    </row>
    <row r="47" spans="1:11" x14ac:dyDescent="0.25">
      <c r="A47">
        <v>9</v>
      </c>
      <c r="B47" t="s">
        <v>21</v>
      </c>
      <c r="K47" t="s">
        <v>13</v>
      </c>
    </row>
    <row r="48" spans="1:11" x14ac:dyDescent="0.25">
      <c r="A48">
        <v>10</v>
      </c>
      <c r="B48" t="s">
        <v>12</v>
      </c>
      <c r="K48" t="s">
        <v>13</v>
      </c>
    </row>
    <row r="49" spans="1:11" x14ac:dyDescent="0.25">
      <c r="A49">
        <v>10</v>
      </c>
      <c r="B49" t="s">
        <v>15</v>
      </c>
      <c r="K49" t="s">
        <v>13</v>
      </c>
    </row>
    <row r="50" spans="1:11" x14ac:dyDescent="0.25">
      <c r="A50">
        <v>10</v>
      </c>
      <c r="B50" t="s">
        <v>16</v>
      </c>
      <c r="K50" t="s">
        <v>13</v>
      </c>
    </row>
    <row r="51" spans="1:11" x14ac:dyDescent="0.25">
      <c r="A51">
        <v>10</v>
      </c>
      <c r="B51" t="s">
        <v>17</v>
      </c>
      <c r="K51" t="s">
        <v>13</v>
      </c>
    </row>
    <row r="52" spans="1:11" x14ac:dyDescent="0.25">
      <c r="A52">
        <v>10</v>
      </c>
      <c r="B52" t="s">
        <v>21</v>
      </c>
      <c r="K52" t="s">
        <v>13</v>
      </c>
    </row>
    <row r="53" spans="1:11" x14ac:dyDescent="0.25">
      <c r="A53">
        <v>11</v>
      </c>
      <c r="B53" t="s">
        <v>12</v>
      </c>
      <c r="K53" t="s">
        <v>13</v>
      </c>
    </row>
    <row r="54" spans="1:11" x14ac:dyDescent="0.25">
      <c r="A54">
        <v>11</v>
      </c>
      <c r="B54" t="s">
        <v>15</v>
      </c>
      <c r="K54" t="s">
        <v>13</v>
      </c>
    </row>
    <row r="55" spans="1:11" x14ac:dyDescent="0.25">
      <c r="A55">
        <v>11</v>
      </c>
      <c r="B55" t="s">
        <v>16</v>
      </c>
      <c r="K55" t="s">
        <v>13</v>
      </c>
    </row>
    <row r="56" spans="1:11" x14ac:dyDescent="0.25">
      <c r="A56">
        <v>11</v>
      </c>
      <c r="B56" t="s">
        <v>17</v>
      </c>
      <c r="K56" t="s">
        <v>13</v>
      </c>
    </row>
    <row r="57" spans="1:11" x14ac:dyDescent="0.25">
      <c r="A57">
        <v>11</v>
      </c>
      <c r="B57" t="s">
        <v>21</v>
      </c>
      <c r="K57" t="s">
        <v>13</v>
      </c>
    </row>
    <row r="58" spans="1:11" x14ac:dyDescent="0.25">
      <c r="A58">
        <v>12</v>
      </c>
      <c r="B58" t="s">
        <v>12</v>
      </c>
      <c r="K58" t="s">
        <v>13</v>
      </c>
    </row>
    <row r="59" spans="1:11" x14ac:dyDescent="0.25">
      <c r="A59">
        <v>12</v>
      </c>
      <c r="B59" t="s">
        <v>15</v>
      </c>
      <c r="K59" t="s">
        <v>13</v>
      </c>
    </row>
    <row r="60" spans="1:11" x14ac:dyDescent="0.25">
      <c r="A60">
        <v>12</v>
      </c>
      <c r="B60" t="s">
        <v>16</v>
      </c>
      <c r="K60" t="s">
        <v>13</v>
      </c>
    </row>
    <row r="61" spans="1:11" x14ac:dyDescent="0.25">
      <c r="A61">
        <v>12</v>
      </c>
      <c r="B61" t="s">
        <v>17</v>
      </c>
      <c r="K61" t="s">
        <v>13</v>
      </c>
    </row>
    <row r="62" spans="1:11" x14ac:dyDescent="0.25">
      <c r="A62">
        <v>12</v>
      </c>
      <c r="B62" t="s">
        <v>21</v>
      </c>
      <c r="K62" t="s">
        <v>13</v>
      </c>
    </row>
    <row r="63" spans="1:11" x14ac:dyDescent="0.25">
      <c r="A63">
        <v>13</v>
      </c>
      <c r="B63" t="s">
        <v>12</v>
      </c>
      <c r="K63" t="s">
        <v>13</v>
      </c>
    </row>
    <row r="64" spans="1:11" x14ac:dyDescent="0.25">
      <c r="A64">
        <v>13</v>
      </c>
      <c r="B64" t="s">
        <v>15</v>
      </c>
      <c r="K64" t="s">
        <v>13</v>
      </c>
    </row>
    <row r="65" spans="1:11" x14ac:dyDescent="0.25">
      <c r="A65">
        <v>13</v>
      </c>
      <c r="B65" t="s">
        <v>16</v>
      </c>
      <c r="K65" t="s">
        <v>13</v>
      </c>
    </row>
    <row r="66" spans="1:11" x14ac:dyDescent="0.25">
      <c r="A66">
        <v>13</v>
      </c>
      <c r="B66" t="s">
        <v>17</v>
      </c>
      <c r="K66" t="s">
        <v>13</v>
      </c>
    </row>
    <row r="67" spans="1:11" x14ac:dyDescent="0.25">
      <c r="A67">
        <v>13</v>
      </c>
      <c r="B67" t="s">
        <v>21</v>
      </c>
      <c r="K67" t="s">
        <v>13</v>
      </c>
    </row>
    <row r="68" spans="1:11" x14ac:dyDescent="0.25">
      <c r="A68">
        <v>14</v>
      </c>
      <c r="B68" t="s">
        <v>12</v>
      </c>
      <c r="K68" t="s">
        <v>13</v>
      </c>
    </row>
    <row r="69" spans="1:11" x14ac:dyDescent="0.25">
      <c r="A69">
        <v>14</v>
      </c>
      <c r="B69" t="s">
        <v>15</v>
      </c>
      <c r="K69" t="s">
        <v>13</v>
      </c>
    </row>
    <row r="70" spans="1:11" x14ac:dyDescent="0.25">
      <c r="A70">
        <v>14</v>
      </c>
      <c r="B70" t="s">
        <v>16</v>
      </c>
      <c r="K70" t="s">
        <v>13</v>
      </c>
    </row>
    <row r="71" spans="1:11" x14ac:dyDescent="0.25">
      <c r="A71">
        <v>14</v>
      </c>
      <c r="B71" t="s">
        <v>17</v>
      </c>
      <c r="K71" t="s">
        <v>13</v>
      </c>
    </row>
    <row r="72" spans="1:11" x14ac:dyDescent="0.25">
      <c r="A72">
        <v>14</v>
      </c>
      <c r="B72" t="s">
        <v>21</v>
      </c>
    </row>
  </sheetData>
  <autoFilter ref="B2:M2" xr:uid="{1D687321-73D0-43D7-A357-A2396F7E4827}"/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7321-73D0-43D7-A357-A2396F7E4827}">
  <sheetPr codeName="Tabelle3"/>
  <dimension ref="A2:M72"/>
  <sheetViews>
    <sheetView showGridLines="0" zoomScale="70" zoomScaleNormal="70" workbookViewId="0">
      <selection activeCell="D48" sqref="D48"/>
    </sheetView>
  </sheetViews>
  <sheetFormatPr defaultColWidth="10.85546875" defaultRowHeight="15" x14ac:dyDescent="0.25"/>
  <cols>
    <col min="2" max="2" width="16.85546875" bestFit="1" customWidth="1"/>
    <col min="3" max="3" width="7.140625" bestFit="1" customWidth="1"/>
    <col min="4" max="4" width="18.85546875" bestFit="1" customWidth="1"/>
    <col min="5" max="5" width="8.5703125" bestFit="1" customWidth="1"/>
    <col min="6" max="6" width="29.28515625" bestFit="1" customWidth="1"/>
    <col min="7" max="7" width="8.5703125" bestFit="1" customWidth="1"/>
    <col min="8" max="8" width="40.5703125" bestFit="1" customWidth="1"/>
    <col min="9" max="9" width="24" bestFit="1" customWidth="1"/>
    <col min="10" max="10" width="28.42578125" bestFit="1" customWidth="1"/>
    <col min="11" max="11" width="13.42578125" bestFit="1" customWidth="1"/>
    <col min="12" max="12" width="9.85546875" bestFit="1" customWidth="1"/>
    <col min="13" max="13" width="31" bestFit="1" customWidth="1"/>
  </cols>
  <sheetData>
    <row r="2" spans="1:13" x14ac:dyDescent="0.2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" t="s">
        <v>42</v>
      </c>
      <c r="J2" s="13" t="s">
        <v>39</v>
      </c>
      <c r="K2" s="1" t="s">
        <v>9</v>
      </c>
      <c r="L2" s="1" t="s">
        <v>10</v>
      </c>
      <c r="M2" s="1" t="s">
        <v>11</v>
      </c>
    </row>
    <row r="3" spans="1:13" x14ac:dyDescent="0.25">
      <c r="A3">
        <v>1</v>
      </c>
      <c r="B3" t="s">
        <v>12</v>
      </c>
      <c r="C3" s="18">
        <v>5</v>
      </c>
      <c r="D3" s="18">
        <v>4</v>
      </c>
      <c r="E3" s="18">
        <v>3</v>
      </c>
      <c r="F3" s="18">
        <v>2</v>
      </c>
      <c r="G3" s="18">
        <v>3</v>
      </c>
      <c r="H3" s="18">
        <v>1</v>
      </c>
      <c r="I3" s="18">
        <v>5</v>
      </c>
      <c r="J3" s="18">
        <v>3</v>
      </c>
      <c r="K3" t="s">
        <v>20</v>
      </c>
      <c r="L3" s="20">
        <v>10</v>
      </c>
    </row>
    <row r="4" spans="1:13" x14ac:dyDescent="0.25">
      <c r="A4">
        <v>1</v>
      </c>
      <c r="B4" t="s">
        <v>15</v>
      </c>
      <c r="C4" s="19">
        <v>3</v>
      </c>
      <c r="D4" s="19">
        <v>4</v>
      </c>
      <c r="E4" s="19">
        <v>3</v>
      </c>
      <c r="F4" s="19">
        <v>4</v>
      </c>
      <c r="G4" s="19">
        <v>3</v>
      </c>
      <c r="H4" s="19">
        <v>5</v>
      </c>
      <c r="I4" s="19">
        <v>2</v>
      </c>
      <c r="J4" s="19">
        <v>3</v>
      </c>
      <c r="K4" t="s">
        <v>20</v>
      </c>
      <c r="L4" s="20">
        <v>25</v>
      </c>
    </row>
    <row r="5" spans="1:13" x14ac:dyDescent="0.25">
      <c r="A5">
        <v>1</v>
      </c>
      <c r="B5" t="s">
        <v>16</v>
      </c>
      <c r="C5" s="18">
        <v>3</v>
      </c>
      <c r="D5" s="18">
        <v>4</v>
      </c>
      <c r="E5" s="18">
        <v>5</v>
      </c>
      <c r="F5" s="18">
        <v>2</v>
      </c>
      <c r="G5" s="18">
        <v>2</v>
      </c>
      <c r="H5" s="18">
        <v>4</v>
      </c>
      <c r="I5" s="18">
        <v>3</v>
      </c>
      <c r="J5" s="18">
        <v>3</v>
      </c>
      <c r="K5" t="s">
        <v>20</v>
      </c>
      <c r="L5" s="20">
        <v>25</v>
      </c>
    </row>
    <row r="6" spans="1:13" x14ac:dyDescent="0.25">
      <c r="A6">
        <v>1</v>
      </c>
      <c r="B6" t="s">
        <v>17</v>
      </c>
      <c r="C6" s="19">
        <v>4</v>
      </c>
      <c r="D6" s="19">
        <v>4</v>
      </c>
      <c r="E6" s="19">
        <v>4</v>
      </c>
      <c r="F6" s="19">
        <v>3</v>
      </c>
      <c r="G6" s="19">
        <v>4</v>
      </c>
      <c r="H6" s="19">
        <v>2</v>
      </c>
      <c r="I6" s="19">
        <v>5</v>
      </c>
      <c r="J6" s="19">
        <v>5</v>
      </c>
      <c r="K6" t="s">
        <v>20</v>
      </c>
      <c r="L6" s="20">
        <v>10</v>
      </c>
    </row>
    <row r="7" spans="1:13" x14ac:dyDescent="0.25">
      <c r="A7">
        <v>1</v>
      </c>
      <c r="B7" t="s">
        <v>21</v>
      </c>
      <c r="C7" s="18">
        <v>4</v>
      </c>
      <c r="D7" s="18">
        <v>4</v>
      </c>
      <c r="E7" s="18">
        <v>5</v>
      </c>
      <c r="F7" s="18">
        <v>4</v>
      </c>
      <c r="G7" s="18">
        <v>3</v>
      </c>
      <c r="H7" s="18">
        <v>5</v>
      </c>
      <c r="I7" s="18">
        <v>2</v>
      </c>
      <c r="J7" s="18">
        <v>3</v>
      </c>
      <c r="K7" t="s">
        <v>20</v>
      </c>
      <c r="L7" s="20">
        <v>30</v>
      </c>
    </row>
    <row r="8" spans="1:13" x14ac:dyDescent="0.25">
      <c r="A8">
        <v>2</v>
      </c>
      <c r="B8" t="s">
        <v>12</v>
      </c>
      <c r="C8" s="19">
        <v>4</v>
      </c>
      <c r="D8" s="19">
        <v>3</v>
      </c>
      <c r="E8" s="19">
        <v>3</v>
      </c>
      <c r="F8" s="19">
        <v>2</v>
      </c>
      <c r="G8" s="19">
        <v>3</v>
      </c>
      <c r="H8" s="19">
        <v>2</v>
      </c>
      <c r="I8" s="19">
        <v>5</v>
      </c>
      <c r="J8" s="19">
        <v>4</v>
      </c>
      <c r="K8" t="s">
        <v>20</v>
      </c>
      <c r="L8" s="20">
        <v>10</v>
      </c>
    </row>
    <row r="9" spans="1:13" x14ac:dyDescent="0.25">
      <c r="A9">
        <v>2</v>
      </c>
      <c r="B9" t="s">
        <v>15</v>
      </c>
      <c r="C9" s="18">
        <v>1</v>
      </c>
      <c r="D9" s="18">
        <v>2</v>
      </c>
      <c r="E9" s="18">
        <v>1</v>
      </c>
      <c r="F9" s="18">
        <v>2</v>
      </c>
      <c r="G9" s="18">
        <v>2</v>
      </c>
      <c r="H9" s="18">
        <v>5</v>
      </c>
      <c r="I9" s="18">
        <v>2</v>
      </c>
      <c r="J9" s="18">
        <v>1</v>
      </c>
      <c r="K9" t="s">
        <v>20</v>
      </c>
      <c r="L9" s="20">
        <v>40</v>
      </c>
    </row>
    <row r="10" spans="1:13" x14ac:dyDescent="0.25">
      <c r="A10">
        <v>2</v>
      </c>
      <c r="B10" t="s">
        <v>16</v>
      </c>
      <c r="C10" s="19">
        <v>1</v>
      </c>
      <c r="D10" s="19">
        <v>2</v>
      </c>
      <c r="E10" s="19">
        <v>1</v>
      </c>
      <c r="F10" s="19">
        <v>2</v>
      </c>
      <c r="G10" s="19">
        <v>2</v>
      </c>
      <c r="H10" s="19">
        <v>5</v>
      </c>
      <c r="I10" s="19">
        <v>2</v>
      </c>
      <c r="J10" s="19">
        <v>1</v>
      </c>
      <c r="K10" t="s">
        <v>20</v>
      </c>
      <c r="L10" s="20">
        <v>30</v>
      </c>
    </row>
    <row r="11" spans="1:13" x14ac:dyDescent="0.25">
      <c r="A11">
        <v>2</v>
      </c>
      <c r="B11" t="s">
        <v>17</v>
      </c>
      <c r="C11" s="18">
        <v>2</v>
      </c>
      <c r="D11" s="18">
        <v>2</v>
      </c>
      <c r="E11" s="18">
        <v>1</v>
      </c>
      <c r="F11" s="18">
        <v>2</v>
      </c>
      <c r="G11" s="18">
        <v>2</v>
      </c>
      <c r="H11" s="18">
        <v>4</v>
      </c>
      <c r="I11" s="18">
        <v>3</v>
      </c>
      <c r="J11" s="18">
        <v>2</v>
      </c>
      <c r="K11" t="s">
        <v>20</v>
      </c>
      <c r="L11" s="20">
        <v>10</v>
      </c>
    </row>
    <row r="12" spans="1:13" x14ac:dyDescent="0.25">
      <c r="A12">
        <v>2</v>
      </c>
      <c r="B12" t="s">
        <v>21</v>
      </c>
      <c r="C12" s="19">
        <v>2</v>
      </c>
      <c r="D12" s="19">
        <v>2</v>
      </c>
      <c r="E12" s="19">
        <v>3</v>
      </c>
      <c r="F12" s="19">
        <v>3</v>
      </c>
      <c r="G12" s="19">
        <v>2</v>
      </c>
      <c r="H12" s="19">
        <v>3</v>
      </c>
      <c r="I12" s="19">
        <v>3</v>
      </c>
      <c r="J12" s="19">
        <v>3</v>
      </c>
      <c r="K12" t="s">
        <v>20</v>
      </c>
      <c r="L12" s="20">
        <v>10</v>
      </c>
    </row>
    <row r="13" spans="1:13" x14ac:dyDescent="0.25">
      <c r="A13">
        <v>3</v>
      </c>
      <c r="B13" t="s">
        <v>12</v>
      </c>
      <c r="C13" s="18">
        <v>4</v>
      </c>
      <c r="D13" s="18">
        <v>3</v>
      </c>
      <c r="E13" s="18">
        <v>5</v>
      </c>
      <c r="F13" s="18">
        <v>2</v>
      </c>
      <c r="G13" s="18">
        <v>3</v>
      </c>
      <c r="H13" s="18">
        <v>1</v>
      </c>
      <c r="I13" s="18">
        <v>4</v>
      </c>
      <c r="J13" s="18">
        <v>3</v>
      </c>
      <c r="K13" t="s">
        <v>20</v>
      </c>
      <c r="L13" s="20">
        <v>5</v>
      </c>
    </row>
    <row r="14" spans="1:13" x14ac:dyDescent="0.25">
      <c r="A14">
        <v>3</v>
      </c>
      <c r="B14" t="s">
        <v>15</v>
      </c>
      <c r="C14" s="19">
        <v>1</v>
      </c>
      <c r="D14" s="19">
        <v>2</v>
      </c>
      <c r="E14" s="19">
        <v>1</v>
      </c>
      <c r="F14" s="19">
        <v>2</v>
      </c>
      <c r="G14" s="19">
        <v>2</v>
      </c>
      <c r="H14" s="19">
        <v>5</v>
      </c>
      <c r="I14" s="19">
        <v>2</v>
      </c>
      <c r="J14" s="19">
        <v>3</v>
      </c>
      <c r="K14" t="s">
        <v>20</v>
      </c>
      <c r="L14" s="20">
        <v>25</v>
      </c>
    </row>
    <row r="15" spans="1:13" x14ac:dyDescent="0.25">
      <c r="A15">
        <v>3</v>
      </c>
      <c r="B15" t="s">
        <v>16</v>
      </c>
      <c r="C15" s="18">
        <v>2</v>
      </c>
      <c r="D15" s="18">
        <v>3</v>
      </c>
      <c r="E15" s="18">
        <v>3</v>
      </c>
      <c r="F15" s="18">
        <v>2</v>
      </c>
      <c r="G15" s="18">
        <v>3</v>
      </c>
      <c r="H15" s="18">
        <v>5</v>
      </c>
      <c r="I15" s="18">
        <v>2</v>
      </c>
      <c r="J15" s="18">
        <v>3</v>
      </c>
      <c r="K15" t="s">
        <v>20</v>
      </c>
      <c r="L15" s="20">
        <v>15</v>
      </c>
    </row>
    <row r="16" spans="1:13" x14ac:dyDescent="0.25">
      <c r="A16">
        <v>3</v>
      </c>
      <c r="B16" t="s">
        <v>17</v>
      </c>
      <c r="C16" s="19">
        <v>3</v>
      </c>
      <c r="D16" s="19">
        <v>2</v>
      </c>
      <c r="E16" s="19">
        <v>3</v>
      </c>
      <c r="F16" s="19">
        <v>4</v>
      </c>
      <c r="G16" s="19">
        <v>3</v>
      </c>
      <c r="H16" s="19">
        <v>4</v>
      </c>
      <c r="I16" s="19">
        <v>3</v>
      </c>
      <c r="J16" s="19">
        <v>3</v>
      </c>
      <c r="K16" t="s">
        <v>20</v>
      </c>
      <c r="L16" s="20">
        <v>20</v>
      </c>
    </row>
    <row r="17" spans="1:12" x14ac:dyDescent="0.25">
      <c r="A17">
        <v>3</v>
      </c>
      <c r="B17" t="s">
        <v>21</v>
      </c>
      <c r="C17" s="18">
        <v>1</v>
      </c>
      <c r="D17" s="18">
        <v>2</v>
      </c>
      <c r="E17" s="18">
        <v>2</v>
      </c>
      <c r="F17" s="18">
        <v>2</v>
      </c>
      <c r="G17" s="18">
        <v>3</v>
      </c>
      <c r="H17" s="18">
        <v>4</v>
      </c>
      <c r="I17" s="18">
        <v>2</v>
      </c>
      <c r="J17" s="18">
        <v>3</v>
      </c>
      <c r="K17" t="s">
        <v>20</v>
      </c>
      <c r="L17" s="20">
        <v>35</v>
      </c>
    </row>
    <row r="18" spans="1:12" x14ac:dyDescent="0.25">
      <c r="A18">
        <v>4</v>
      </c>
      <c r="B18" t="s">
        <v>12</v>
      </c>
      <c r="C18" s="19">
        <v>5</v>
      </c>
      <c r="D18" s="19">
        <v>4</v>
      </c>
      <c r="E18" s="19">
        <v>1</v>
      </c>
      <c r="F18" s="19">
        <v>4</v>
      </c>
      <c r="G18" s="19">
        <v>2</v>
      </c>
      <c r="H18" s="19">
        <v>2</v>
      </c>
      <c r="I18" s="19">
        <v>5</v>
      </c>
      <c r="J18" s="19">
        <v>3</v>
      </c>
      <c r="K18" t="s">
        <v>20</v>
      </c>
      <c r="L18" s="20">
        <v>10</v>
      </c>
    </row>
    <row r="19" spans="1:12" x14ac:dyDescent="0.25">
      <c r="A19">
        <v>4</v>
      </c>
      <c r="B19" t="s">
        <v>15</v>
      </c>
      <c r="C19" s="18">
        <v>2</v>
      </c>
      <c r="D19" s="18">
        <v>3</v>
      </c>
      <c r="E19" s="18">
        <v>2</v>
      </c>
      <c r="F19" s="18">
        <v>4</v>
      </c>
      <c r="G19" s="18">
        <v>4</v>
      </c>
      <c r="H19" s="18">
        <v>3</v>
      </c>
      <c r="I19" s="18">
        <v>2</v>
      </c>
      <c r="J19" s="18">
        <v>4</v>
      </c>
      <c r="K19" t="s">
        <v>20</v>
      </c>
      <c r="L19" s="21">
        <v>35</v>
      </c>
    </row>
    <row r="20" spans="1:12" x14ac:dyDescent="0.25">
      <c r="A20">
        <v>4</v>
      </c>
      <c r="B20" t="s">
        <v>16</v>
      </c>
      <c r="C20" s="19">
        <v>2</v>
      </c>
      <c r="D20" s="19">
        <v>3</v>
      </c>
      <c r="E20" s="19">
        <v>4</v>
      </c>
      <c r="F20" s="19">
        <v>4</v>
      </c>
      <c r="G20" s="19">
        <v>3</v>
      </c>
      <c r="H20" s="19">
        <v>3</v>
      </c>
      <c r="I20" s="19">
        <v>2</v>
      </c>
      <c r="J20" s="19">
        <v>3</v>
      </c>
      <c r="K20" t="s">
        <v>20</v>
      </c>
      <c r="L20" s="21">
        <v>30</v>
      </c>
    </row>
    <row r="21" spans="1:12" x14ac:dyDescent="0.25">
      <c r="A21">
        <v>4</v>
      </c>
      <c r="B21" t="s">
        <v>17</v>
      </c>
      <c r="C21" s="18">
        <v>4</v>
      </c>
      <c r="D21" s="18">
        <v>4</v>
      </c>
      <c r="E21" s="18">
        <v>2</v>
      </c>
      <c r="F21" s="18">
        <v>4</v>
      </c>
      <c r="G21" s="18">
        <v>3</v>
      </c>
      <c r="H21" s="18">
        <v>2</v>
      </c>
      <c r="I21" s="18">
        <v>4</v>
      </c>
      <c r="J21" s="18">
        <v>3</v>
      </c>
      <c r="K21" t="s">
        <v>20</v>
      </c>
      <c r="L21" s="21">
        <v>15</v>
      </c>
    </row>
    <row r="22" spans="1:12" x14ac:dyDescent="0.25">
      <c r="A22">
        <v>4</v>
      </c>
      <c r="B22" t="s">
        <v>21</v>
      </c>
      <c r="C22" s="19">
        <v>4</v>
      </c>
      <c r="D22" s="19">
        <v>4</v>
      </c>
      <c r="E22" s="19">
        <v>3</v>
      </c>
      <c r="F22" s="19">
        <v>4</v>
      </c>
      <c r="G22" s="19">
        <v>3</v>
      </c>
      <c r="H22" s="19">
        <v>4</v>
      </c>
      <c r="I22" s="19">
        <v>4</v>
      </c>
      <c r="J22" s="19">
        <v>4</v>
      </c>
      <c r="K22" t="s">
        <v>20</v>
      </c>
      <c r="L22" s="21">
        <v>10</v>
      </c>
    </row>
    <row r="23" spans="1:12" x14ac:dyDescent="0.25">
      <c r="A23">
        <v>5</v>
      </c>
      <c r="B23" t="s">
        <v>12</v>
      </c>
      <c r="C23" s="18">
        <v>5</v>
      </c>
      <c r="D23" s="18">
        <v>4</v>
      </c>
      <c r="E23" s="18">
        <v>1</v>
      </c>
      <c r="F23" s="18">
        <v>3</v>
      </c>
      <c r="G23" s="18">
        <v>2</v>
      </c>
      <c r="H23" s="18">
        <v>1</v>
      </c>
      <c r="I23" s="18">
        <v>5</v>
      </c>
      <c r="J23" s="18">
        <v>4</v>
      </c>
      <c r="K23" t="s">
        <v>20</v>
      </c>
      <c r="L23" s="20">
        <v>20</v>
      </c>
    </row>
    <row r="24" spans="1:12" x14ac:dyDescent="0.25">
      <c r="A24">
        <v>5</v>
      </c>
      <c r="B24" t="s">
        <v>15</v>
      </c>
      <c r="C24" s="19">
        <v>2</v>
      </c>
      <c r="D24" s="19">
        <v>5</v>
      </c>
      <c r="E24" s="19">
        <v>1</v>
      </c>
      <c r="F24" s="19">
        <v>4</v>
      </c>
      <c r="G24" s="19">
        <v>2</v>
      </c>
      <c r="H24" s="19">
        <v>4</v>
      </c>
      <c r="I24" s="19">
        <v>2</v>
      </c>
      <c r="J24" s="19">
        <v>1</v>
      </c>
      <c r="K24" t="s">
        <v>20</v>
      </c>
      <c r="L24" s="21">
        <v>40</v>
      </c>
    </row>
    <row r="25" spans="1:12" x14ac:dyDescent="0.25">
      <c r="A25">
        <v>5</v>
      </c>
      <c r="B25" t="s">
        <v>16</v>
      </c>
      <c r="C25" s="18">
        <v>1</v>
      </c>
      <c r="D25" s="18">
        <v>3</v>
      </c>
      <c r="E25" s="18">
        <v>1</v>
      </c>
      <c r="F25" s="18">
        <v>3</v>
      </c>
      <c r="G25" s="18">
        <v>1</v>
      </c>
      <c r="H25" s="18">
        <v>1</v>
      </c>
      <c r="I25" s="18">
        <v>2</v>
      </c>
      <c r="J25" s="18">
        <v>1</v>
      </c>
      <c r="K25" t="s">
        <v>20</v>
      </c>
      <c r="L25" s="21">
        <v>30</v>
      </c>
    </row>
    <row r="26" spans="1:12" x14ac:dyDescent="0.25">
      <c r="A26">
        <v>5</v>
      </c>
      <c r="B26" t="s">
        <v>17</v>
      </c>
      <c r="C26" s="19">
        <v>3</v>
      </c>
      <c r="D26" s="19">
        <v>4</v>
      </c>
      <c r="E26" s="19">
        <v>1</v>
      </c>
      <c r="F26" s="19">
        <v>4</v>
      </c>
      <c r="G26" s="19">
        <v>1</v>
      </c>
      <c r="H26" s="19">
        <v>1</v>
      </c>
      <c r="I26" s="19">
        <v>2</v>
      </c>
      <c r="J26" s="19">
        <v>2</v>
      </c>
      <c r="K26" t="s">
        <v>20</v>
      </c>
      <c r="L26" s="21">
        <v>5</v>
      </c>
    </row>
    <row r="27" spans="1:12" x14ac:dyDescent="0.25">
      <c r="A27">
        <v>5</v>
      </c>
      <c r="B27" t="s">
        <v>21</v>
      </c>
      <c r="C27" s="18">
        <v>1</v>
      </c>
      <c r="D27" s="18">
        <v>2</v>
      </c>
      <c r="E27" s="18">
        <v>1</v>
      </c>
      <c r="F27" s="18">
        <v>2</v>
      </c>
      <c r="G27" s="18">
        <v>1</v>
      </c>
      <c r="H27" s="18">
        <v>1</v>
      </c>
      <c r="I27" s="18">
        <v>1</v>
      </c>
      <c r="J27" s="18">
        <v>1</v>
      </c>
      <c r="K27" t="s">
        <v>20</v>
      </c>
      <c r="L27" s="21">
        <v>5</v>
      </c>
    </row>
    <row r="28" spans="1:12" x14ac:dyDescent="0.25">
      <c r="A28">
        <v>6</v>
      </c>
      <c r="B28" t="s">
        <v>12</v>
      </c>
      <c r="C28" s="19">
        <v>1</v>
      </c>
      <c r="D28" s="19">
        <v>2</v>
      </c>
      <c r="E28" s="19">
        <v>2</v>
      </c>
      <c r="F28" s="19">
        <v>3</v>
      </c>
      <c r="G28" s="19">
        <v>4</v>
      </c>
      <c r="H28" s="19">
        <v>5</v>
      </c>
      <c r="I28" s="19">
        <v>1</v>
      </c>
      <c r="J28" s="19">
        <v>3</v>
      </c>
      <c r="K28" t="s">
        <v>20</v>
      </c>
      <c r="L28" s="20">
        <v>10</v>
      </c>
    </row>
    <row r="29" spans="1:12" x14ac:dyDescent="0.25">
      <c r="A29">
        <v>6</v>
      </c>
      <c r="B29" t="s">
        <v>15</v>
      </c>
      <c r="C29" s="18">
        <v>1</v>
      </c>
      <c r="D29" s="18">
        <v>2</v>
      </c>
      <c r="E29" s="18">
        <v>2</v>
      </c>
      <c r="F29" s="18">
        <v>2</v>
      </c>
      <c r="G29" s="18">
        <v>2</v>
      </c>
      <c r="H29" s="18">
        <v>5</v>
      </c>
      <c r="I29" s="18">
        <v>1</v>
      </c>
      <c r="J29" s="18">
        <v>2</v>
      </c>
      <c r="K29" t="s">
        <v>20</v>
      </c>
      <c r="L29" s="21">
        <v>30</v>
      </c>
    </row>
    <row r="30" spans="1:12" x14ac:dyDescent="0.25">
      <c r="A30">
        <v>6</v>
      </c>
      <c r="B30" t="s">
        <v>16</v>
      </c>
      <c r="C30" s="19">
        <v>1</v>
      </c>
      <c r="D30" s="19">
        <v>3</v>
      </c>
      <c r="E30" s="19">
        <v>3</v>
      </c>
      <c r="F30" s="19">
        <v>4</v>
      </c>
      <c r="G30" s="19">
        <v>4</v>
      </c>
      <c r="H30" s="19">
        <v>1</v>
      </c>
      <c r="I30" s="19">
        <v>1</v>
      </c>
      <c r="J30" s="19">
        <v>5</v>
      </c>
      <c r="K30" t="s">
        <v>20</v>
      </c>
      <c r="L30" s="21">
        <v>30</v>
      </c>
    </row>
    <row r="31" spans="1:12" x14ac:dyDescent="0.25">
      <c r="A31">
        <v>6</v>
      </c>
      <c r="B31" t="s">
        <v>17</v>
      </c>
      <c r="C31" s="18">
        <v>4</v>
      </c>
      <c r="D31" s="18">
        <v>3</v>
      </c>
      <c r="E31" s="18">
        <v>2</v>
      </c>
      <c r="F31" s="18">
        <v>3</v>
      </c>
      <c r="G31" s="18">
        <v>2</v>
      </c>
      <c r="H31" s="18">
        <v>1</v>
      </c>
      <c r="I31" s="18">
        <v>4</v>
      </c>
      <c r="J31" s="18">
        <v>3</v>
      </c>
      <c r="K31" t="s">
        <v>20</v>
      </c>
      <c r="L31" s="21">
        <v>10</v>
      </c>
    </row>
    <row r="32" spans="1:12" x14ac:dyDescent="0.25">
      <c r="A32">
        <v>6</v>
      </c>
      <c r="B32" t="s">
        <v>21</v>
      </c>
      <c r="C32" s="19">
        <v>5</v>
      </c>
      <c r="D32" s="19">
        <v>5</v>
      </c>
      <c r="E32" s="19">
        <v>2</v>
      </c>
      <c r="F32" s="19">
        <v>4</v>
      </c>
      <c r="G32" s="19">
        <v>4</v>
      </c>
      <c r="H32" s="19">
        <v>5</v>
      </c>
      <c r="I32" s="19">
        <v>5</v>
      </c>
      <c r="J32" s="19">
        <v>4</v>
      </c>
      <c r="K32" t="s">
        <v>20</v>
      </c>
      <c r="L32" s="21">
        <v>20</v>
      </c>
    </row>
    <row r="33" spans="1:12" x14ac:dyDescent="0.25">
      <c r="A33">
        <v>7</v>
      </c>
      <c r="B33" t="s">
        <v>12</v>
      </c>
      <c r="C33" s="18">
        <v>5</v>
      </c>
      <c r="D33" s="18">
        <v>4</v>
      </c>
      <c r="E33" s="18">
        <v>4</v>
      </c>
      <c r="F33" s="18">
        <v>3</v>
      </c>
      <c r="G33" s="18">
        <v>3</v>
      </c>
      <c r="H33" s="18">
        <v>4</v>
      </c>
      <c r="I33" s="18">
        <v>2</v>
      </c>
      <c r="J33" s="18">
        <v>3</v>
      </c>
      <c r="K33" t="s">
        <v>20</v>
      </c>
      <c r="L33" s="20">
        <v>20</v>
      </c>
    </row>
    <row r="34" spans="1:12" x14ac:dyDescent="0.25">
      <c r="A34">
        <v>7</v>
      </c>
      <c r="B34" t="s">
        <v>15</v>
      </c>
      <c r="C34" s="19">
        <v>1</v>
      </c>
      <c r="D34" s="19">
        <v>3</v>
      </c>
      <c r="E34" s="19">
        <v>2</v>
      </c>
      <c r="F34" s="19">
        <v>3</v>
      </c>
      <c r="G34" s="19">
        <v>4</v>
      </c>
      <c r="H34" s="19">
        <v>5</v>
      </c>
      <c r="I34" s="19">
        <v>1</v>
      </c>
      <c r="J34" s="19">
        <v>3</v>
      </c>
      <c r="K34" t="s">
        <v>20</v>
      </c>
      <c r="L34" s="21">
        <v>25</v>
      </c>
    </row>
    <row r="35" spans="1:12" x14ac:dyDescent="0.25">
      <c r="A35">
        <v>7</v>
      </c>
      <c r="B35" t="s">
        <v>16</v>
      </c>
      <c r="C35" s="18">
        <v>1</v>
      </c>
      <c r="D35" s="18">
        <v>3</v>
      </c>
      <c r="E35" s="18">
        <v>2</v>
      </c>
      <c r="F35" s="18">
        <v>3</v>
      </c>
      <c r="G35" s="18">
        <v>4</v>
      </c>
      <c r="H35" s="18">
        <v>5</v>
      </c>
      <c r="I35" s="18">
        <v>1</v>
      </c>
      <c r="J35" s="18">
        <v>3</v>
      </c>
      <c r="K35" t="s">
        <v>20</v>
      </c>
      <c r="L35" s="21">
        <v>25</v>
      </c>
    </row>
    <row r="36" spans="1:12" x14ac:dyDescent="0.25">
      <c r="A36">
        <v>7</v>
      </c>
      <c r="B36" t="s">
        <v>17</v>
      </c>
      <c r="C36" s="19">
        <v>3</v>
      </c>
      <c r="D36" s="19">
        <v>2</v>
      </c>
      <c r="E36" s="19">
        <v>2</v>
      </c>
      <c r="F36" s="19">
        <v>3</v>
      </c>
      <c r="G36" s="19">
        <v>2</v>
      </c>
      <c r="H36" s="19">
        <v>4</v>
      </c>
      <c r="I36" s="19">
        <v>2</v>
      </c>
      <c r="J36" s="19">
        <v>2</v>
      </c>
      <c r="K36" t="s">
        <v>20</v>
      </c>
      <c r="L36" s="21">
        <v>15</v>
      </c>
    </row>
    <row r="37" spans="1:12" x14ac:dyDescent="0.25">
      <c r="A37">
        <v>7</v>
      </c>
      <c r="B37" t="s">
        <v>21</v>
      </c>
      <c r="C37" s="18">
        <v>1</v>
      </c>
      <c r="D37" s="18">
        <v>3</v>
      </c>
      <c r="E37" s="18">
        <v>4</v>
      </c>
      <c r="F37" s="18">
        <v>3</v>
      </c>
      <c r="G37" s="18">
        <v>4</v>
      </c>
      <c r="H37" s="18">
        <v>4</v>
      </c>
      <c r="I37" s="18">
        <v>1</v>
      </c>
      <c r="J37" s="18">
        <v>3</v>
      </c>
      <c r="K37" t="s">
        <v>20</v>
      </c>
      <c r="L37" s="21">
        <v>15</v>
      </c>
    </row>
    <row r="38" spans="1:12" x14ac:dyDescent="0.25">
      <c r="A38">
        <v>8</v>
      </c>
      <c r="B38" t="s">
        <v>12</v>
      </c>
      <c r="C38" s="19">
        <v>2</v>
      </c>
      <c r="D38" s="19">
        <v>3</v>
      </c>
      <c r="E38" s="19">
        <v>1</v>
      </c>
      <c r="F38" s="19">
        <v>1</v>
      </c>
      <c r="G38" s="19">
        <v>3</v>
      </c>
      <c r="H38" s="19">
        <v>1</v>
      </c>
      <c r="I38" s="19">
        <v>2</v>
      </c>
      <c r="J38" s="19">
        <v>4</v>
      </c>
      <c r="K38" t="s">
        <v>20</v>
      </c>
      <c r="L38" s="20">
        <v>5</v>
      </c>
    </row>
    <row r="39" spans="1:12" x14ac:dyDescent="0.25">
      <c r="A39">
        <v>8</v>
      </c>
      <c r="B39" t="s">
        <v>15</v>
      </c>
      <c r="C39" s="18">
        <v>2</v>
      </c>
      <c r="D39" s="18">
        <v>4</v>
      </c>
      <c r="E39" s="18">
        <v>2</v>
      </c>
      <c r="F39" s="18">
        <v>4</v>
      </c>
      <c r="G39" s="18">
        <v>4</v>
      </c>
      <c r="H39" s="18">
        <v>2</v>
      </c>
      <c r="I39" s="18">
        <v>2</v>
      </c>
      <c r="J39" s="18">
        <v>5</v>
      </c>
      <c r="K39" t="s">
        <v>20</v>
      </c>
      <c r="L39" s="21">
        <v>20</v>
      </c>
    </row>
    <row r="40" spans="1:12" x14ac:dyDescent="0.25">
      <c r="A40">
        <v>8</v>
      </c>
      <c r="B40" t="s">
        <v>16</v>
      </c>
      <c r="C40" s="19">
        <v>4</v>
      </c>
      <c r="D40" s="19">
        <v>5</v>
      </c>
      <c r="E40" s="19">
        <v>2</v>
      </c>
      <c r="F40" s="19">
        <v>2</v>
      </c>
      <c r="G40" s="19">
        <v>3</v>
      </c>
      <c r="H40" s="19">
        <v>2</v>
      </c>
      <c r="I40" s="19">
        <v>3</v>
      </c>
      <c r="J40" s="19">
        <v>3</v>
      </c>
      <c r="K40" t="s">
        <v>20</v>
      </c>
      <c r="L40" s="21">
        <v>20</v>
      </c>
    </row>
    <row r="41" spans="1:12" x14ac:dyDescent="0.25">
      <c r="A41">
        <v>8</v>
      </c>
      <c r="B41" t="s">
        <v>17</v>
      </c>
      <c r="C41" s="18">
        <v>4</v>
      </c>
      <c r="D41" s="18">
        <v>2</v>
      </c>
      <c r="E41" s="18">
        <v>2</v>
      </c>
      <c r="F41" s="18">
        <v>3</v>
      </c>
      <c r="G41" s="18">
        <v>2</v>
      </c>
      <c r="H41" s="18">
        <v>3</v>
      </c>
      <c r="I41" s="18">
        <v>3</v>
      </c>
      <c r="J41" s="18">
        <v>2</v>
      </c>
      <c r="K41" t="s">
        <v>20</v>
      </c>
      <c r="L41" s="21">
        <v>25</v>
      </c>
    </row>
    <row r="42" spans="1:12" x14ac:dyDescent="0.25">
      <c r="A42">
        <v>8</v>
      </c>
      <c r="B42" t="s">
        <v>21</v>
      </c>
      <c r="C42" s="19">
        <v>3</v>
      </c>
      <c r="D42" s="19">
        <v>3</v>
      </c>
      <c r="E42" s="19">
        <v>2</v>
      </c>
      <c r="F42" s="19">
        <v>3</v>
      </c>
      <c r="G42" s="19">
        <v>2</v>
      </c>
      <c r="H42" s="19">
        <v>2</v>
      </c>
      <c r="I42" s="19">
        <v>5</v>
      </c>
      <c r="J42" s="19">
        <v>3</v>
      </c>
      <c r="K42" t="s">
        <v>20</v>
      </c>
      <c r="L42" s="21">
        <v>30</v>
      </c>
    </row>
    <row r="43" spans="1:12" x14ac:dyDescent="0.25">
      <c r="A43">
        <v>9</v>
      </c>
      <c r="B43" t="s">
        <v>12</v>
      </c>
      <c r="C43" s="18">
        <v>3</v>
      </c>
      <c r="D43" s="18">
        <v>3</v>
      </c>
      <c r="E43" s="18">
        <v>3</v>
      </c>
      <c r="F43" s="18">
        <v>1</v>
      </c>
      <c r="G43" s="18">
        <v>4</v>
      </c>
      <c r="H43" s="18">
        <v>4</v>
      </c>
      <c r="I43" s="18">
        <v>4</v>
      </c>
      <c r="J43" s="18">
        <v>4</v>
      </c>
      <c r="K43" t="s">
        <v>20</v>
      </c>
      <c r="L43" s="21">
        <v>25</v>
      </c>
    </row>
    <row r="44" spans="1:12" x14ac:dyDescent="0.25">
      <c r="A44">
        <v>9</v>
      </c>
      <c r="B44" t="s">
        <v>15</v>
      </c>
      <c r="C44" s="19">
        <v>2</v>
      </c>
      <c r="D44" s="19">
        <v>5</v>
      </c>
      <c r="E44" s="19">
        <v>5</v>
      </c>
      <c r="F44" s="19">
        <v>3</v>
      </c>
      <c r="G44" s="19">
        <v>3</v>
      </c>
      <c r="H44" s="19">
        <v>5</v>
      </c>
      <c r="I44" s="19">
        <v>1</v>
      </c>
      <c r="J44" s="19">
        <v>3</v>
      </c>
      <c r="K44" t="s">
        <v>20</v>
      </c>
      <c r="L44" s="21">
        <v>20</v>
      </c>
    </row>
    <row r="45" spans="1:12" x14ac:dyDescent="0.25">
      <c r="A45">
        <v>9</v>
      </c>
      <c r="B45" t="s">
        <v>16</v>
      </c>
      <c r="C45" s="18">
        <v>1</v>
      </c>
      <c r="D45" s="18">
        <v>4</v>
      </c>
      <c r="E45" s="18">
        <v>2</v>
      </c>
      <c r="F45" s="18">
        <v>1</v>
      </c>
      <c r="G45" s="18">
        <v>2</v>
      </c>
      <c r="H45" s="18">
        <v>4</v>
      </c>
      <c r="I45" s="18">
        <v>1</v>
      </c>
      <c r="J45" s="18">
        <v>2</v>
      </c>
      <c r="K45" t="s">
        <v>20</v>
      </c>
      <c r="L45" s="21">
        <v>20</v>
      </c>
    </row>
    <row r="46" spans="1:12" x14ac:dyDescent="0.25">
      <c r="A46">
        <v>9</v>
      </c>
      <c r="B46" t="s">
        <v>17</v>
      </c>
      <c r="C46" s="19">
        <v>3</v>
      </c>
      <c r="D46" s="19">
        <v>1</v>
      </c>
      <c r="E46" s="19">
        <v>1</v>
      </c>
      <c r="F46" s="19">
        <v>1</v>
      </c>
      <c r="G46" s="19">
        <v>1</v>
      </c>
      <c r="H46" s="19">
        <v>4</v>
      </c>
      <c r="I46" s="19">
        <v>3</v>
      </c>
      <c r="J46" s="19">
        <v>1</v>
      </c>
      <c r="K46" t="s">
        <v>20</v>
      </c>
      <c r="L46" s="21">
        <v>25</v>
      </c>
    </row>
    <row r="47" spans="1:12" x14ac:dyDescent="0.25">
      <c r="A47">
        <v>9</v>
      </c>
      <c r="B47" t="s">
        <v>21</v>
      </c>
      <c r="C47" s="18">
        <v>1</v>
      </c>
      <c r="D47" s="18">
        <v>4</v>
      </c>
      <c r="E47" s="18">
        <v>3</v>
      </c>
      <c r="F47" s="18">
        <v>1</v>
      </c>
      <c r="G47" s="18">
        <v>2</v>
      </c>
      <c r="H47" s="18">
        <v>3</v>
      </c>
      <c r="I47" s="18">
        <v>1</v>
      </c>
      <c r="J47" s="18">
        <v>2</v>
      </c>
      <c r="K47" t="s">
        <v>20</v>
      </c>
      <c r="L47" s="21">
        <v>10</v>
      </c>
    </row>
    <row r="48" spans="1:12" x14ac:dyDescent="0.25">
      <c r="A48">
        <v>10</v>
      </c>
      <c r="B48" t="s">
        <v>12</v>
      </c>
      <c r="K48" t="s">
        <v>20</v>
      </c>
    </row>
    <row r="49" spans="1:11" x14ac:dyDescent="0.25">
      <c r="A49">
        <v>10</v>
      </c>
      <c r="B49" t="s">
        <v>15</v>
      </c>
      <c r="K49" t="s">
        <v>20</v>
      </c>
    </row>
    <row r="50" spans="1:11" x14ac:dyDescent="0.25">
      <c r="A50">
        <v>10</v>
      </c>
      <c r="B50" t="s">
        <v>16</v>
      </c>
      <c r="K50" t="s">
        <v>20</v>
      </c>
    </row>
    <row r="51" spans="1:11" x14ac:dyDescent="0.25">
      <c r="A51">
        <v>10</v>
      </c>
      <c r="B51" t="s">
        <v>17</v>
      </c>
      <c r="K51" t="s">
        <v>20</v>
      </c>
    </row>
    <row r="52" spans="1:11" x14ac:dyDescent="0.25">
      <c r="A52">
        <v>10</v>
      </c>
      <c r="B52" t="s">
        <v>21</v>
      </c>
      <c r="K52" t="s">
        <v>20</v>
      </c>
    </row>
    <row r="53" spans="1:11" x14ac:dyDescent="0.25">
      <c r="A53">
        <v>11</v>
      </c>
      <c r="B53" t="s">
        <v>12</v>
      </c>
      <c r="K53" t="s">
        <v>20</v>
      </c>
    </row>
    <row r="54" spans="1:11" x14ac:dyDescent="0.25">
      <c r="A54">
        <v>11</v>
      </c>
      <c r="B54" t="s">
        <v>15</v>
      </c>
      <c r="K54" t="s">
        <v>20</v>
      </c>
    </row>
    <row r="55" spans="1:11" x14ac:dyDescent="0.25">
      <c r="A55">
        <v>11</v>
      </c>
      <c r="B55" t="s">
        <v>16</v>
      </c>
      <c r="K55" t="s">
        <v>20</v>
      </c>
    </row>
    <row r="56" spans="1:11" x14ac:dyDescent="0.25">
      <c r="A56">
        <v>11</v>
      </c>
      <c r="B56" t="s">
        <v>17</v>
      </c>
      <c r="K56" t="s">
        <v>20</v>
      </c>
    </row>
    <row r="57" spans="1:11" x14ac:dyDescent="0.25">
      <c r="A57">
        <v>11</v>
      </c>
      <c r="B57" t="s">
        <v>21</v>
      </c>
      <c r="K57" t="s">
        <v>20</v>
      </c>
    </row>
    <row r="58" spans="1:11" x14ac:dyDescent="0.25">
      <c r="A58">
        <v>12</v>
      </c>
      <c r="B58" t="s">
        <v>12</v>
      </c>
      <c r="K58" t="s">
        <v>20</v>
      </c>
    </row>
    <row r="59" spans="1:11" x14ac:dyDescent="0.25">
      <c r="A59">
        <v>12</v>
      </c>
      <c r="B59" t="s">
        <v>15</v>
      </c>
      <c r="K59" t="s">
        <v>20</v>
      </c>
    </row>
    <row r="60" spans="1:11" x14ac:dyDescent="0.25">
      <c r="A60">
        <v>12</v>
      </c>
      <c r="B60" t="s">
        <v>16</v>
      </c>
      <c r="K60" t="s">
        <v>20</v>
      </c>
    </row>
    <row r="61" spans="1:11" x14ac:dyDescent="0.25">
      <c r="A61">
        <v>12</v>
      </c>
      <c r="B61" t="s">
        <v>17</v>
      </c>
      <c r="K61" t="s">
        <v>20</v>
      </c>
    </row>
    <row r="62" spans="1:11" x14ac:dyDescent="0.25">
      <c r="A62">
        <v>12</v>
      </c>
      <c r="B62" t="s">
        <v>21</v>
      </c>
      <c r="K62" t="s">
        <v>20</v>
      </c>
    </row>
    <row r="63" spans="1:11" x14ac:dyDescent="0.25">
      <c r="A63">
        <v>13</v>
      </c>
      <c r="B63" t="s">
        <v>12</v>
      </c>
      <c r="K63" t="s">
        <v>20</v>
      </c>
    </row>
    <row r="64" spans="1:11" x14ac:dyDescent="0.25">
      <c r="A64">
        <v>13</v>
      </c>
      <c r="B64" t="s">
        <v>15</v>
      </c>
      <c r="K64" t="s">
        <v>20</v>
      </c>
    </row>
    <row r="65" spans="1:11" x14ac:dyDescent="0.25">
      <c r="A65">
        <v>13</v>
      </c>
      <c r="B65" t="s">
        <v>16</v>
      </c>
      <c r="K65" t="s">
        <v>20</v>
      </c>
    </row>
    <row r="66" spans="1:11" x14ac:dyDescent="0.25">
      <c r="A66">
        <v>13</v>
      </c>
      <c r="B66" t="s">
        <v>17</v>
      </c>
      <c r="K66" t="s">
        <v>20</v>
      </c>
    </row>
    <row r="67" spans="1:11" x14ac:dyDescent="0.25">
      <c r="A67">
        <v>13</v>
      </c>
      <c r="B67" t="s">
        <v>21</v>
      </c>
      <c r="K67" t="s">
        <v>20</v>
      </c>
    </row>
    <row r="68" spans="1:11" x14ac:dyDescent="0.25">
      <c r="A68">
        <v>14</v>
      </c>
      <c r="B68" t="s">
        <v>12</v>
      </c>
    </row>
    <row r="69" spans="1:11" x14ac:dyDescent="0.25">
      <c r="A69">
        <v>14</v>
      </c>
      <c r="B69" t="s">
        <v>15</v>
      </c>
    </row>
    <row r="70" spans="1:11" x14ac:dyDescent="0.25">
      <c r="A70">
        <v>14</v>
      </c>
      <c r="B70" t="s">
        <v>16</v>
      </c>
    </row>
    <row r="71" spans="1:11" x14ac:dyDescent="0.25">
      <c r="A71">
        <v>14</v>
      </c>
      <c r="B71" t="s">
        <v>17</v>
      </c>
    </row>
    <row r="72" spans="1:11" x14ac:dyDescent="0.25">
      <c r="A72">
        <v>14</v>
      </c>
      <c r="B72" t="s">
        <v>21</v>
      </c>
    </row>
  </sheetData>
  <autoFilter ref="B2:M2" xr:uid="{1D687321-73D0-43D7-A357-A2396F7E4827}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B648-58EB-4143-A931-90154B3A1C7E}">
  <sheetPr codeName="Tabelle4"/>
  <dimension ref="A2:K72"/>
  <sheetViews>
    <sheetView showGridLines="0" zoomScale="60" workbookViewId="0">
      <selection activeCell="O17" sqref="O17"/>
    </sheetView>
  </sheetViews>
  <sheetFormatPr defaultColWidth="10.85546875" defaultRowHeight="15" x14ac:dyDescent="0.25"/>
  <cols>
    <col min="2" max="2" width="16.85546875" bestFit="1" customWidth="1"/>
    <col min="3" max="3" width="7.140625" bestFit="1" customWidth="1"/>
    <col min="4" max="4" width="18.85546875" bestFit="1" customWidth="1"/>
    <col min="5" max="5" width="8.5703125" bestFit="1" customWidth="1"/>
    <col min="6" max="6" width="29.28515625" bestFit="1" customWidth="1"/>
    <col min="7" max="7" width="8.5703125" bestFit="1" customWidth="1"/>
    <col min="8" max="8" width="40.5703125" bestFit="1" customWidth="1"/>
    <col min="9" max="9" width="24" bestFit="1" customWidth="1"/>
    <col min="10" max="10" width="28.42578125" bestFit="1" customWidth="1"/>
    <col min="11" max="11" width="9.85546875" bestFit="1" customWidth="1"/>
  </cols>
  <sheetData>
    <row r="2" spans="1:11" x14ac:dyDescent="0.2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3" t="s">
        <v>42</v>
      </c>
      <c r="J2" s="1" t="s">
        <v>39</v>
      </c>
      <c r="K2" s="1" t="s">
        <v>10</v>
      </c>
    </row>
    <row r="3" spans="1:11" x14ac:dyDescent="0.25">
      <c r="A3">
        <v>1</v>
      </c>
      <c r="B3" t="s">
        <v>12</v>
      </c>
      <c r="C3">
        <v>5</v>
      </c>
      <c r="D3">
        <v>4</v>
      </c>
      <c r="E3">
        <v>1</v>
      </c>
      <c r="F3">
        <v>4</v>
      </c>
      <c r="G3">
        <v>3</v>
      </c>
      <c r="H3">
        <v>3</v>
      </c>
      <c r="I3">
        <v>5</v>
      </c>
      <c r="J3">
        <v>4</v>
      </c>
      <c r="K3">
        <v>10</v>
      </c>
    </row>
    <row r="4" spans="1:11" x14ac:dyDescent="0.25">
      <c r="A4">
        <v>1</v>
      </c>
      <c r="B4" t="s">
        <v>15</v>
      </c>
      <c r="C4">
        <v>4</v>
      </c>
      <c r="D4">
        <v>4</v>
      </c>
      <c r="E4">
        <v>3</v>
      </c>
      <c r="F4">
        <v>5</v>
      </c>
      <c r="G4">
        <v>5</v>
      </c>
      <c r="H4">
        <v>4</v>
      </c>
      <c r="I4">
        <v>3</v>
      </c>
      <c r="J4">
        <v>4</v>
      </c>
      <c r="K4">
        <v>35</v>
      </c>
    </row>
    <row r="5" spans="1:11" x14ac:dyDescent="0.25">
      <c r="A5">
        <v>1</v>
      </c>
      <c r="B5" t="s">
        <v>16</v>
      </c>
      <c r="C5">
        <v>3</v>
      </c>
      <c r="D5">
        <v>4</v>
      </c>
      <c r="E5">
        <v>4</v>
      </c>
      <c r="F5">
        <v>5</v>
      </c>
      <c r="G5">
        <v>4</v>
      </c>
      <c r="H5">
        <v>4</v>
      </c>
      <c r="I5">
        <v>3</v>
      </c>
      <c r="J5">
        <v>4</v>
      </c>
      <c r="K5">
        <v>30</v>
      </c>
    </row>
    <row r="6" spans="1:11" x14ac:dyDescent="0.25">
      <c r="A6">
        <v>1</v>
      </c>
      <c r="B6" t="s">
        <v>17</v>
      </c>
      <c r="C6">
        <v>4</v>
      </c>
      <c r="D6">
        <v>4</v>
      </c>
      <c r="E6">
        <v>2</v>
      </c>
      <c r="F6">
        <v>4</v>
      </c>
      <c r="G6">
        <v>3</v>
      </c>
      <c r="H6">
        <v>2</v>
      </c>
      <c r="I6">
        <v>4</v>
      </c>
      <c r="J6">
        <v>3</v>
      </c>
      <c r="K6">
        <v>15</v>
      </c>
    </row>
    <row r="7" spans="1:11" x14ac:dyDescent="0.25">
      <c r="A7">
        <v>1</v>
      </c>
      <c r="B7" t="s">
        <v>21</v>
      </c>
      <c r="C7">
        <v>5</v>
      </c>
      <c r="D7">
        <v>4</v>
      </c>
      <c r="E7">
        <v>4</v>
      </c>
      <c r="F7">
        <v>5</v>
      </c>
      <c r="G7">
        <v>4</v>
      </c>
      <c r="H7">
        <v>4</v>
      </c>
      <c r="I7">
        <v>4</v>
      </c>
      <c r="J7">
        <v>4</v>
      </c>
      <c r="K7">
        <v>10</v>
      </c>
    </row>
    <row r="8" spans="1:11" x14ac:dyDescent="0.25">
      <c r="A8">
        <f>A3+1</f>
        <v>2</v>
      </c>
      <c r="B8" t="s">
        <v>12</v>
      </c>
      <c r="C8">
        <v>4</v>
      </c>
      <c r="D8">
        <v>5</v>
      </c>
      <c r="E8">
        <v>2</v>
      </c>
      <c r="F8">
        <v>4</v>
      </c>
      <c r="G8">
        <v>5</v>
      </c>
      <c r="H8">
        <v>1</v>
      </c>
      <c r="I8">
        <v>4</v>
      </c>
      <c r="J8">
        <v>4</v>
      </c>
      <c r="K8">
        <v>10</v>
      </c>
    </row>
    <row r="9" spans="1:11" x14ac:dyDescent="0.25">
      <c r="A9">
        <f t="shared" ref="A9:A72" si="0">A4+1</f>
        <v>2</v>
      </c>
      <c r="B9" t="s">
        <v>15</v>
      </c>
      <c r="C9">
        <v>4</v>
      </c>
      <c r="D9">
        <v>3</v>
      </c>
      <c r="E9">
        <v>4</v>
      </c>
      <c r="F9">
        <v>5</v>
      </c>
      <c r="G9">
        <v>4</v>
      </c>
      <c r="H9">
        <v>5</v>
      </c>
      <c r="I9">
        <v>1</v>
      </c>
      <c r="J9">
        <v>4</v>
      </c>
      <c r="K9">
        <v>20</v>
      </c>
    </row>
    <row r="10" spans="1:11" x14ac:dyDescent="0.25">
      <c r="A10">
        <f t="shared" si="0"/>
        <v>2</v>
      </c>
      <c r="B10" t="s">
        <v>16</v>
      </c>
      <c r="C10">
        <v>1</v>
      </c>
      <c r="D10">
        <v>3</v>
      </c>
      <c r="E10">
        <v>3</v>
      </c>
      <c r="F10">
        <v>4</v>
      </c>
      <c r="G10">
        <v>4</v>
      </c>
      <c r="H10">
        <v>5</v>
      </c>
      <c r="I10">
        <v>1</v>
      </c>
      <c r="J10">
        <v>4</v>
      </c>
      <c r="K10">
        <v>45</v>
      </c>
    </row>
    <row r="11" spans="1:11" x14ac:dyDescent="0.25">
      <c r="A11">
        <f t="shared" si="0"/>
        <v>2</v>
      </c>
      <c r="B11" t="s">
        <v>17</v>
      </c>
      <c r="C11">
        <v>3</v>
      </c>
      <c r="D11">
        <v>3</v>
      </c>
      <c r="E11">
        <v>3</v>
      </c>
      <c r="F11">
        <v>4</v>
      </c>
      <c r="G11">
        <v>4</v>
      </c>
      <c r="H11">
        <v>5</v>
      </c>
      <c r="I11">
        <v>1</v>
      </c>
      <c r="J11">
        <v>3</v>
      </c>
      <c r="K11">
        <v>35</v>
      </c>
    </row>
    <row r="12" spans="1:11" x14ac:dyDescent="0.25">
      <c r="A12">
        <f t="shared" si="0"/>
        <v>2</v>
      </c>
      <c r="B12" t="s">
        <v>21</v>
      </c>
      <c r="C12">
        <v>2</v>
      </c>
      <c r="D12">
        <v>4</v>
      </c>
      <c r="E12">
        <v>5</v>
      </c>
      <c r="F12">
        <v>5</v>
      </c>
      <c r="G12">
        <v>5</v>
      </c>
      <c r="H12">
        <v>5</v>
      </c>
      <c r="I12">
        <v>3</v>
      </c>
      <c r="J12">
        <v>5</v>
      </c>
      <c r="K12">
        <v>15</v>
      </c>
    </row>
    <row r="13" spans="1:11" x14ac:dyDescent="0.25">
      <c r="A13">
        <f t="shared" si="0"/>
        <v>3</v>
      </c>
      <c r="B13" t="s">
        <v>12</v>
      </c>
      <c r="C13">
        <v>4</v>
      </c>
      <c r="D13">
        <v>3</v>
      </c>
      <c r="E13">
        <v>4</v>
      </c>
      <c r="F13">
        <v>2</v>
      </c>
      <c r="G13">
        <v>3</v>
      </c>
      <c r="H13">
        <v>1</v>
      </c>
      <c r="I13">
        <v>4</v>
      </c>
      <c r="J13">
        <v>3</v>
      </c>
      <c r="K13">
        <v>5</v>
      </c>
    </row>
    <row r="14" spans="1:11" x14ac:dyDescent="0.25">
      <c r="A14">
        <f t="shared" si="0"/>
        <v>3</v>
      </c>
      <c r="B14" t="s">
        <v>15</v>
      </c>
      <c r="C14">
        <v>1</v>
      </c>
      <c r="D14">
        <v>2</v>
      </c>
      <c r="E14">
        <v>2</v>
      </c>
      <c r="F14">
        <v>3</v>
      </c>
      <c r="G14">
        <v>3</v>
      </c>
      <c r="H14">
        <v>4</v>
      </c>
      <c r="I14">
        <v>2</v>
      </c>
      <c r="J14">
        <v>3</v>
      </c>
      <c r="K14">
        <v>25</v>
      </c>
    </row>
    <row r="15" spans="1:11" x14ac:dyDescent="0.25">
      <c r="A15">
        <f t="shared" si="0"/>
        <v>3</v>
      </c>
      <c r="B15" t="s">
        <v>16</v>
      </c>
      <c r="C15">
        <v>3</v>
      </c>
      <c r="D15">
        <v>3</v>
      </c>
      <c r="E15">
        <v>3</v>
      </c>
      <c r="F15">
        <v>4</v>
      </c>
      <c r="G15">
        <v>2</v>
      </c>
      <c r="H15">
        <v>3</v>
      </c>
      <c r="I15">
        <v>4</v>
      </c>
      <c r="J15">
        <v>2</v>
      </c>
      <c r="K15">
        <v>15</v>
      </c>
    </row>
    <row r="16" spans="1:11" x14ac:dyDescent="0.25">
      <c r="A16">
        <f t="shared" si="0"/>
        <v>3</v>
      </c>
      <c r="B16" t="s">
        <v>17</v>
      </c>
      <c r="C16">
        <v>3</v>
      </c>
      <c r="D16">
        <v>2</v>
      </c>
      <c r="E16">
        <v>2</v>
      </c>
      <c r="F16">
        <v>3</v>
      </c>
      <c r="G16">
        <v>3</v>
      </c>
      <c r="H16">
        <v>4</v>
      </c>
      <c r="I16">
        <v>3</v>
      </c>
      <c r="J16">
        <v>3</v>
      </c>
      <c r="K16">
        <v>20</v>
      </c>
    </row>
    <row r="17" spans="1:11" x14ac:dyDescent="0.25">
      <c r="A17">
        <f t="shared" si="0"/>
        <v>3</v>
      </c>
      <c r="B17" t="s">
        <v>21</v>
      </c>
      <c r="C17">
        <v>1</v>
      </c>
      <c r="D17">
        <v>2</v>
      </c>
      <c r="E17">
        <v>2</v>
      </c>
      <c r="F17">
        <v>3</v>
      </c>
      <c r="G17">
        <v>3</v>
      </c>
      <c r="H17">
        <v>4</v>
      </c>
      <c r="I17">
        <v>2</v>
      </c>
      <c r="J17">
        <v>3</v>
      </c>
      <c r="K17">
        <v>35</v>
      </c>
    </row>
    <row r="18" spans="1:11" x14ac:dyDescent="0.25">
      <c r="A18">
        <f t="shared" si="0"/>
        <v>4</v>
      </c>
      <c r="B18" t="s">
        <v>12</v>
      </c>
      <c r="C18">
        <v>4</v>
      </c>
      <c r="D18">
        <v>4</v>
      </c>
      <c r="E18">
        <v>1</v>
      </c>
      <c r="F18">
        <v>4</v>
      </c>
      <c r="G18">
        <v>1</v>
      </c>
      <c r="H18">
        <v>1</v>
      </c>
      <c r="I18">
        <v>4</v>
      </c>
      <c r="J18">
        <v>1</v>
      </c>
      <c r="K18">
        <v>20</v>
      </c>
    </row>
    <row r="19" spans="1:11" x14ac:dyDescent="0.25">
      <c r="A19">
        <f t="shared" si="0"/>
        <v>4</v>
      </c>
      <c r="B19" t="s">
        <v>15</v>
      </c>
      <c r="C19">
        <v>3</v>
      </c>
      <c r="D19">
        <v>3</v>
      </c>
      <c r="E19">
        <v>2</v>
      </c>
      <c r="F19">
        <v>5</v>
      </c>
      <c r="G19">
        <v>3</v>
      </c>
      <c r="H19">
        <v>5</v>
      </c>
      <c r="I19">
        <v>3</v>
      </c>
      <c r="J19">
        <v>4</v>
      </c>
      <c r="K19">
        <v>20</v>
      </c>
    </row>
    <row r="20" spans="1:11" x14ac:dyDescent="0.25">
      <c r="A20">
        <f t="shared" si="0"/>
        <v>4</v>
      </c>
      <c r="B20" t="s">
        <v>16</v>
      </c>
      <c r="C20">
        <v>2</v>
      </c>
      <c r="D20">
        <v>3</v>
      </c>
      <c r="E20">
        <v>2</v>
      </c>
      <c r="F20">
        <v>5</v>
      </c>
      <c r="G20">
        <v>2</v>
      </c>
      <c r="H20">
        <v>4</v>
      </c>
      <c r="I20">
        <v>2</v>
      </c>
      <c r="J20">
        <v>2</v>
      </c>
      <c r="K20">
        <v>25</v>
      </c>
    </row>
    <row r="21" spans="1:11" x14ac:dyDescent="0.25">
      <c r="A21">
        <f t="shared" si="0"/>
        <v>4</v>
      </c>
      <c r="B21" t="s">
        <v>17</v>
      </c>
      <c r="C21">
        <v>5</v>
      </c>
      <c r="D21">
        <v>1</v>
      </c>
      <c r="E21">
        <v>1</v>
      </c>
      <c r="F21">
        <v>2</v>
      </c>
      <c r="G21">
        <v>1</v>
      </c>
      <c r="H21">
        <v>1</v>
      </c>
      <c r="I21">
        <v>1</v>
      </c>
      <c r="J21">
        <v>1</v>
      </c>
      <c r="K21">
        <v>5</v>
      </c>
    </row>
    <row r="22" spans="1:11" x14ac:dyDescent="0.25">
      <c r="A22">
        <f t="shared" si="0"/>
        <v>4</v>
      </c>
      <c r="B22" t="s">
        <v>21</v>
      </c>
      <c r="C22">
        <v>3</v>
      </c>
      <c r="D22">
        <v>3</v>
      </c>
      <c r="E22">
        <v>1</v>
      </c>
      <c r="F22">
        <v>5</v>
      </c>
      <c r="G22">
        <v>3</v>
      </c>
      <c r="H22">
        <v>5</v>
      </c>
      <c r="I22">
        <v>3</v>
      </c>
      <c r="J22">
        <v>4</v>
      </c>
      <c r="K22">
        <v>30</v>
      </c>
    </row>
    <row r="23" spans="1:11" x14ac:dyDescent="0.25">
      <c r="A23">
        <f t="shared" si="0"/>
        <v>5</v>
      </c>
      <c r="B23" t="s">
        <v>12</v>
      </c>
      <c r="C23">
        <v>5</v>
      </c>
      <c r="D23">
        <v>5</v>
      </c>
      <c r="E23">
        <v>5</v>
      </c>
      <c r="F23">
        <v>4</v>
      </c>
      <c r="G23">
        <v>4</v>
      </c>
      <c r="H23">
        <v>3</v>
      </c>
      <c r="I23">
        <v>5</v>
      </c>
      <c r="J23">
        <v>4</v>
      </c>
      <c r="K23">
        <v>10</v>
      </c>
    </row>
    <row r="24" spans="1:11" x14ac:dyDescent="0.25">
      <c r="A24">
        <f t="shared" si="0"/>
        <v>5</v>
      </c>
      <c r="B24" t="s">
        <v>15</v>
      </c>
      <c r="C24">
        <v>4</v>
      </c>
      <c r="D24">
        <v>4</v>
      </c>
      <c r="E24">
        <v>4</v>
      </c>
      <c r="F24">
        <v>3</v>
      </c>
      <c r="G24">
        <v>3</v>
      </c>
      <c r="H24">
        <v>4</v>
      </c>
      <c r="I24">
        <v>2</v>
      </c>
      <c r="J24">
        <v>3</v>
      </c>
      <c r="K24">
        <v>25</v>
      </c>
    </row>
    <row r="25" spans="1:11" x14ac:dyDescent="0.25">
      <c r="A25">
        <f t="shared" si="0"/>
        <v>5</v>
      </c>
      <c r="B25" t="s">
        <v>16</v>
      </c>
      <c r="C25">
        <v>4</v>
      </c>
      <c r="D25">
        <v>4</v>
      </c>
      <c r="E25">
        <v>3</v>
      </c>
      <c r="F25">
        <v>3</v>
      </c>
      <c r="G25">
        <v>2</v>
      </c>
      <c r="H25">
        <v>3</v>
      </c>
      <c r="I25">
        <v>3</v>
      </c>
      <c r="J25">
        <v>2</v>
      </c>
      <c r="K25">
        <v>25</v>
      </c>
    </row>
    <row r="26" spans="1:11" x14ac:dyDescent="0.25">
      <c r="A26">
        <f t="shared" si="0"/>
        <v>5</v>
      </c>
      <c r="B26" t="s">
        <v>17</v>
      </c>
      <c r="C26">
        <v>5</v>
      </c>
      <c r="D26">
        <v>4</v>
      </c>
      <c r="E26">
        <v>5</v>
      </c>
      <c r="F26">
        <v>4</v>
      </c>
      <c r="G26">
        <v>3</v>
      </c>
      <c r="H26">
        <v>3</v>
      </c>
      <c r="I26">
        <v>4</v>
      </c>
      <c r="J26">
        <v>3</v>
      </c>
      <c r="K26">
        <v>15</v>
      </c>
    </row>
    <row r="27" spans="1:11" x14ac:dyDescent="0.25">
      <c r="A27">
        <f t="shared" si="0"/>
        <v>5</v>
      </c>
      <c r="B27" t="s">
        <v>21</v>
      </c>
      <c r="C27">
        <v>4</v>
      </c>
      <c r="D27">
        <v>4</v>
      </c>
      <c r="E27">
        <v>5</v>
      </c>
      <c r="F27">
        <v>3</v>
      </c>
      <c r="G27">
        <v>2</v>
      </c>
      <c r="H27">
        <v>3</v>
      </c>
      <c r="I27">
        <v>3</v>
      </c>
      <c r="J27">
        <v>2</v>
      </c>
      <c r="K27">
        <v>25</v>
      </c>
    </row>
    <row r="28" spans="1:11" x14ac:dyDescent="0.25">
      <c r="A28">
        <f t="shared" si="0"/>
        <v>6</v>
      </c>
      <c r="B28" t="s">
        <v>12</v>
      </c>
      <c r="C28">
        <v>2</v>
      </c>
      <c r="D28">
        <v>5</v>
      </c>
      <c r="E28">
        <v>2</v>
      </c>
      <c r="F28">
        <v>3</v>
      </c>
      <c r="G28">
        <v>3</v>
      </c>
      <c r="H28">
        <v>2</v>
      </c>
      <c r="I28">
        <v>1</v>
      </c>
      <c r="J28">
        <v>2</v>
      </c>
      <c r="K28">
        <v>0</v>
      </c>
    </row>
    <row r="29" spans="1:11" x14ac:dyDescent="0.25">
      <c r="A29">
        <f t="shared" si="0"/>
        <v>6</v>
      </c>
      <c r="B29" t="s">
        <v>15</v>
      </c>
      <c r="C29">
        <v>2</v>
      </c>
      <c r="D29">
        <v>5</v>
      </c>
      <c r="E29">
        <v>2</v>
      </c>
      <c r="F29">
        <v>3</v>
      </c>
      <c r="G29">
        <v>3</v>
      </c>
      <c r="H29">
        <v>2</v>
      </c>
      <c r="I29">
        <v>1</v>
      </c>
      <c r="J29">
        <v>2</v>
      </c>
      <c r="K29">
        <v>0</v>
      </c>
    </row>
    <row r="30" spans="1:11" x14ac:dyDescent="0.25">
      <c r="A30">
        <f t="shared" si="0"/>
        <v>6</v>
      </c>
      <c r="B30" t="s">
        <v>16</v>
      </c>
      <c r="C30">
        <v>2</v>
      </c>
      <c r="D30">
        <v>5</v>
      </c>
      <c r="E30">
        <v>2</v>
      </c>
      <c r="F30">
        <v>3</v>
      </c>
      <c r="G30">
        <v>3</v>
      </c>
      <c r="H30">
        <v>2</v>
      </c>
      <c r="I30">
        <v>1</v>
      </c>
      <c r="J30">
        <v>2</v>
      </c>
      <c r="K30">
        <v>80</v>
      </c>
    </row>
    <row r="31" spans="1:11" x14ac:dyDescent="0.25">
      <c r="A31">
        <f t="shared" si="0"/>
        <v>6</v>
      </c>
      <c r="B31" t="s">
        <v>17</v>
      </c>
      <c r="C31">
        <v>2</v>
      </c>
      <c r="D31">
        <v>5</v>
      </c>
      <c r="E31">
        <v>2</v>
      </c>
      <c r="F31">
        <v>3</v>
      </c>
      <c r="G31">
        <v>3</v>
      </c>
      <c r="H31">
        <v>2</v>
      </c>
      <c r="I31">
        <v>1</v>
      </c>
      <c r="J31">
        <v>2</v>
      </c>
      <c r="K31">
        <v>0</v>
      </c>
    </row>
    <row r="32" spans="1:11" x14ac:dyDescent="0.25">
      <c r="A32">
        <f t="shared" si="0"/>
        <v>6</v>
      </c>
      <c r="B32" t="s">
        <v>21</v>
      </c>
      <c r="C32">
        <v>2</v>
      </c>
      <c r="D32">
        <v>5</v>
      </c>
      <c r="E32">
        <v>2</v>
      </c>
      <c r="F32">
        <v>3</v>
      </c>
      <c r="G32">
        <v>3</v>
      </c>
      <c r="H32">
        <v>2</v>
      </c>
      <c r="I32">
        <v>1</v>
      </c>
      <c r="J32">
        <v>2</v>
      </c>
      <c r="K32">
        <v>20</v>
      </c>
    </row>
    <row r="33" spans="1:11" x14ac:dyDescent="0.25">
      <c r="A33">
        <f t="shared" si="0"/>
        <v>7</v>
      </c>
      <c r="B33" t="s">
        <v>12</v>
      </c>
      <c r="C33">
        <v>5</v>
      </c>
      <c r="D33">
        <v>4</v>
      </c>
      <c r="E33">
        <v>4</v>
      </c>
      <c r="F33">
        <v>3</v>
      </c>
      <c r="G33">
        <v>3</v>
      </c>
      <c r="H33">
        <v>1</v>
      </c>
      <c r="I33">
        <v>5</v>
      </c>
      <c r="J33">
        <v>4</v>
      </c>
      <c r="K33">
        <v>5</v>
      </c>
    </row>
    <row r="34" spans="1:11" x14ac:dyDescent="0.25">
      <c r="A34">
        <f t="shared" si="0"/>
        <v>7</v>
      </c>
      <c r="B34" t="s">
        <v>15</v>
      </c>
      <c r="C34">
        <v>2</v>
      </c>
      <c r="D34">
        <v>5</v>
      </c>
      <c r="E34">
        <v>1</v>
      </c>
      <c r="F34">
        <v>5</v>
      </c>
      <c r="G34">
        <v>1</v>
      </c>
      <c r="H34">
        <v>1</v>
      </c>
      <c r="I34">
        <v>2</v>
      </c>
      <c r="J34">
        <v>2</v>
      </c>
      <c r="K34">
        <v>5</v>
      </c>
    </row>
    <row r="35" spans="1:11" x14ac:dyDescent="0.25">
      <c r="A35">
        <f t="shared" si="0"/>
        <v>7</v>
      </c>
      <c r="B35" t="s">
        <v>16</v>
      </c>
      <c r="C35">
        <v>3</v>
      </c>
      <c r="D35">
        <v>5</v>
      </c>
      <c r="E35">
        <v>1</v>
      </c>
      <c r="F35">
        <v>5</v>
      </c>
      <c r="G35">
        <v>1</v>
      </c>
      <c r="H35">
        <v>1</v>
      </c>
      <c r="I35">
        <v>3</v>
      </c>
      <c r="J35">
        <v>2</v>
      </c>
      <c r="K35">
        <v>80</v>
      </c>
    </row>
    <row r="36" spans="1:11" x14ac:dyDescent="0.25">
      <c r="A36">
        <f t="shared" si="0"/>
        <v>7</v>
      </c>
      <c r="B36" t="s">
        <v>17</v>
      </c>
      <c r="C36">
        <v>5</v>
      </c>
      <c r="D36">
        <v>4</v>
      </c>
      <c r="E36">
        <v>1</v>
      </c>
      <c r="F36">
        <v>2</v>
      </c>
      <c r="G36">
        <v>1</v>
      </c>
      <c r="H36">
        <v>1</v>
      </c>
      <c r="I36">
        <v>4</v>
      </c>
      <c r="J36">
        <v>3</v>
      </c>
      <c r="K36">
        <v>5</v>
      </c>
    </row>
    <row r="37" spans="1:11" x14ac:dyDescent="0.25">
      <c r="A37">
        <f t="shared" si="0"/>
        <v>7</v>
      </c>
      <c r="B37" t="s">
        <v>21</v>
      </c>
      <c r="C37">
        <v>2</v>
      </c>
      <c r="D37">
        <v>4</v>
      </c>
      <c r="E37">
        <v>1</v>
      </c>
      <c r="F37">
        <v>2</v>
      </c>
      <c r="G37">
        <v>3</v>
      </c>
      <c r="H37">
        <v>1</v>
      </c>
      <c r="I37">
        <v>2</v>
      </c>
      <c r="J37">
        <v>2</v>
      </c>
      <c r="K37">
        <v>5</v>
      </c>
    </row>
    <row r="38" spans="1:11" x14ac:dyDescent="0.25">
      <c r="A38">
        <f t="shared" si="0"/>
        <v>8</v>
      </c>
      <c r="B38" t="s">
        <v>12</v>
      </c>
      <c r="C38">
        <v>5</v>
      </c>
      <c r="D38">
        <v>4</v>
      </c>
      <c r="E38">
        <v>4</v>
      </c>
      <c r="F38">
        <v>2</v>
      </c>
      <c r="G38">
        <v>3</v>
      </c>
      <c r="H38">
        <v>1</v>
      </c>
      <c r="I38">
        <v>5</v>
      </c>
      <c r="J38">
        <v>3</v>
      </c>
      <c r="K38">
        <v>20</v>
      </c>
    </row>
    <row r="39" spans="1:11" x14ac:dyDescent="0.25">
      <c r="A39">
        <f t="shared" si="0"/>
        <v>8</v>
      </c>
      <c r="B39" t="s">
        <v>15</v>
      </c>
      <c r="C39">
        <v>4</v>
      </c>
      <c r="D39">
        <v>5</v>
      </c>
      <c r="E39">
        <v>3</v>
      </c>
      <c r="F39">
        <v>4</v>
      </c>
      <c r="G39">
        <v>5</v>
      </c>
      <c r="H39">
        <v>5</v>
      </c>
      <c r="I39">
        <v>4</v>
      </c>
      <c r="J39">
        <v>5</v>
      </c>
      <c r="K39">
        <v>40</v>
      </c>
    </row>
    <row r="40" spans="1:11" x14ac:dyDescent="0.25">
      <c r="A40">
        <f t="shared" si="0"/>
        <v>8</v>
      </c>
      <c r="B40" t="s">
        <v>16</v>
      </c>
      <c r="C40">
        <v>4</v>
      </c>
      <c r="D40">
        <v>4</v>
      </c>
      <c r="E40">
        <v>5</v>
      </c>
      <c r="F40">
        <v>5</v>
      </c>
      <c r="G40">
        <v>5</v>
      </c>
      <c r="H40">
        <v>2</v>
      </c>
      <c r="I40">
        <v>4</v>
      </c>
      <c r="J40">
        <v>5</v>
      </c>
      <c r="K40">
        <v>30</v>
      </c>
    </row>
    <row r="41" spans="1:11" x14ac:dyDescent="0.25">
      <c r="A41">
        <f t="shared" si="0"/>
        <v>8</v>
      </c>
      <c r="B41" t="s">
        <v>17</v>
      </c>
      <c r="C41">
        <v>4</v>
      </c>
      <c r="D41">
        <v>4</v>
      </c>
      <c r="E41">
        <v>4</v>
      </c>
      <c r="F41">
        <v>3</v>
      </c>
      <c r="G41">
        <v>2</v>
      </c>
      <c r="H41">
        <v>1</v>
      </c>
      <c r="I41">
        <v>4</v>
      </c>
      <c r="J41">
        <v>3</v>
      </c>
      <c r="K41">
        <v>5</v>
      </c>
    </row>
    <row r="42" spans="1:11" x14ac:dyDescent="0.25">
      <c r="A42">
        <f t="shared" si="0"/>
        <v>8</v>
      </c>
      <c r="B42" t="s">
        <v>21</v>
      </c>
      <c r="C42">
        <v>4</v>
      </c>
      <c r="D42">
        <v>5</v>
      </c>
      <c r="E42">
        <v>3</v>
      </c>
      <c r="F42">
        <v>5</v>
      </c>
      <c r="G42">
        <v>5</v>
      </c>
      <c r="H42">
        <v>1</v>
      </c>
      <c r="I42">
        <v>4</v>
      </c>
      <c r="J42">
        <v>5</v>
      </c>
      <c r="K42">
        <v>5</v>
      </c>
    </row>
    <row r="43" spans="1:11" x14ac:dyDescent="0.25">
      <c r="A43">
        <f t="shared" si="0"/>
        <v>9</v>
      </c>
      <c r="B43" t="s">
        <v>12</v>
      </c>
      <c r="C43">
        <v>4</v>
      </c>
      <c r="D43">
        <v>5</v>
      </c>
      <c r="E43">
        <v>3</v>
      </c>
      <c r="F43">
        <v>3</v>
      </c>
      <c r="G43">
        <v>3</v>
      </c>
      <c r="H43">
        <v>2</v>
      </c>
      <c r="I43">
        <v>3</v>
      </c>
      <c r="J43">
        <v>4</v>
      </c>
      <c r="K43">
        <v>5</v>
      </c>
    </row>
    <row r="44" spans="1:11" x14ac:dyDescent="0.25">
      <c r="A44">
        <f t="shared" si="0"/>
        <v>9</v>
      </c>
      <c r="B44" t="s">
        <v>15</v>
      </c>
      <c r="C44">
        <v>1</v>
      </c>
      <c r="D44">
        <v>3</v>
      </c>
      <c r="E44">
        <v>2</v>
      </c>
      <c r="F44">
        <v>5</v>
      </c>
      <c r="G44">
        <v>4</v>
      </c>
      <c r="H44">
        <v>5</v>
      </c>
      <c r="I44">
        <v>3</v>
      </c>
      <c r="J44">
        <v>4</v>
      </c>
      <c r="K44">
        <v>50</v>
      </c>
    </row>
    <row r="45" spans="1:11" x14ac:dyDescent="0.25">
      <c r="A45">
        <f t="shared" si="0"/>
        <v>9</v>
      </c>
      <c r="B45" t="s">
        <v>16</v>
      </c>
      <c r="C45">
        <v>1</v>
      </c>
      <c r="D45">
        <v>4</v>
      </c>
      <c r="E45">
        <v>3</v>
      </c>
      <c r="F45">
        <v>5</v>
      </c>
      <c r="G45">
        <v>3</v>
      </c>
      <c r="H45">
        <v>5</v>
      </c>
      <c r="I45">
        <v>3</v>
      </c>
      <c r="J45">
        <v>3</v>
      </c>
      <c r="K45">
        <v>20</v>
      </c>
    </row>
    <row r="46" spans="1:11" x14ac:dyDescent="0.25">
      <c r="A46">
        <f t="shared" si="0"/>
        <v>9</v>
      </c>
      <c r="B46" t="s">
        <v>17</v>
      </c>
      <c r="C46">
        <v>2</v>
      </c>
      <c r="D46">
        <v>3</v>
      </c>
      <c r="E46">
        <v>2</v>
      </c>
      <c r="F46">
        <v>5</v>
      </c>
      <c r="G46">
        <v>3</v>
      </c>
      <c r="H46">
        <v>5</v>
      </c>
      <c r="I46">
        <v>4</v>
      </c>
      <c r="J46">
        <v>3</v>
      </c>
      <c r="K46">
        <v>5</v>
      </c>
    </row>
    <row r="47" spans="1:11" x14ac:dyDescent="0.25">
      <c r="A47">
        <f t="shared" si="0"/>
        <v>9</v>
      </c>
      <c r="B47" t="s">
        <v>21</v>
      </c>
      <c r="C47">
        <v>3</v>
      </c>
      <c r="D47">
        <v>4</v>
      </c>
      <c r="E47">
        <v>5</v>
      </c>
      <c r="F47">
        <v>5</v>
      </c>
      <c r="G47">
        <v>5</v>
      </c>
      <c r="H47">
        <v>5</v>
      </c>
      <c r="I47">
        <v>3</v>
      </c>
      <c r="J47">
        <v>5</v>
      </c>
      <c r="K47">
        <v>20</v>
      </c>
    </row>
    <row r="48" spans="1:11" x14ac:dyDescent="0.25">
      <c r="A48">
        <f t="shared" si="0"/>
        <v>10</v>
      </c>
      <c r="B48" t="s">
        <v>12</v>
      </c>
      <c r="C48">
        <v>3</v>
      </c>
      <c r="D48">
        <v>5</v>
      </c>
      <c r="E48">
        <v>2</v>
      </c>
      <c r="F48">
        <v>5</v>
      </c>
      <c r="G48">
        <v>3</v>
      </c>
      <c r="H48">
        <v>4</v>
      </c>
      <c r="I48">
        <v>3</v>
      </c>
      <c r="J48">
        <v>3</v>
      </c>
      <c r="K48">
        <v>10</v>
      </c>
    </row>
    <row r="49" spans="1:11" x14ac:dyDescent="0.25">
      <c r="A49">
        <f t="shared" si="0"/>
        <v>10</v>
      </c>
      <c r="B49" t="s">
        <v>15</v>
      </c>
      <c r="C49">
        <v>3</v>
      </c>
      <c r="D49">
        <v>5</v>
      </c>
      <c r="E49">
        <v>3</v>
      </c>
      <c r="F49">
        <v>4</v>
      </c>
      <c r="G49">
        <v>5</v>
      </c>
      <c r="H49">
        <v>5</v>
      </c>
      <c r="I49">
        <v>3</v>
      </c>
      <c r="J49">
        <v>3</v>
      </c>
      <c r="K49">
        <v>35</v>
      </c>
    </row>
    <row r="50" spans="1:11" x14ac:dyDescent="0.25">
      <c r="A50">
        <f t="shared" si="0"/>
        <v>10</v>
      </c>
      <c r="B50" t="s">
        <v>16</v>
      </c>
      <c r="C50">
        <v>3</v>
      </c>
      <c r="D50">
        <v>5</v>
      </c>
      <c r="E50">
        <v>3</v>
      </c>
      <c r="F50">
        <v>4</v>
      </c>
      <c r="G50">
        <v>3</v>
      </c>
      <c r="H50">
        <v>5</v>
      </c>
      <c r="I50">
        <v>2</v>
      </c>
      <c r="J50">
        <v>3</v>
      </c>
      <c r="K50">
        <v>30</v>
      </c>
    </row>
    <row r="51" spans="1:11" x14ac:dyDescent="0.25">
      <c r="A51">
        <f t="shared" si="0"/>
        <v>10</v>
      </c>
      <c r="B51" t="s">
        <v>17</v>
      </c>
      <c r="C51">
        <v>4</v>
      </c>
      <c r="D51">
        <v>3</v>
      </c>
      <c r="E51">
        <v>2</v>
      </c>
      <c r="F51">
        <v>5</v>
      </c>
      <c r="G51">
        <v>2</v>
      </c>
      <c r="H51">
        <v>2</v>
      </c>
      <c r="I51">
        <v>3</v>
      </c>
      <c r="J51">
        <v>3</v>
      </c>
      <c r="K51">
        <v>10</v>
      </c>
    </row>
    <row r="52" spans="1:11" x14ac:dyDescent="0.25">
      <c r="A52">
        <f t="shared" si="0"/>
        <v>10</v>
      </c>
      <c r="B52" t="s">
        <v>21</v>
      </c>
      <c r="C52">
        <v>3</v>
      </c>
      <c r="D52">
        <v>5</v>
      </c>
      <c r="E52">
        <v>3</v>
      </c>
      <c r="F52">
        <v>4</v>
      </c>
      <c r="G52">
        <v>3</v>
      </c>
      <c r="H52">
        <v>5</v>
      </c>
      <c r="I52">
        <v>2</v>
      </c>
      <c r="J52">
        <v>3</v>
      </c>
      <c r="K52">
        <v>15</v>
      </c>
    </row>
    <row r="53" spans="1:11" x14ac:dyDescent="0.25">
      <c r="A53">
        <f t="shared" si="0"/>
        <v>11</v>
      </c>
      <c r="B53" t="s">
        <v>12</v>
      </c>
      <c r="C53">
        <v>3</v>
      </c>
      <c r="D53">
        <v>4</v>
      </c>
      <c r="E53">
        <v>3</v>
      </c>
      <c r="F53">
        <v>4</v>
      </c>
      <c r="G53">
        <v>3</v>
      </c>
      <c r="H53">
        <v>4</v>
      </c>
      <c r="I53">
        <v>2</v>
      </c>
      <c r="J53">
        <v>4</v>
      </c>
      <c r="K53">
        <v>25</v>
      </c>
    </row>
    <row r="54" spans="1:11" x14ac:dyDescent="0.25">
      <c r="A54">
        <f t="shared" si="0"/>
        <v>11</v>
      </c>
      <c r="B54" t="s">
        <v>15</v>
      </c>
      <c r="C54">
        <v>2</v>
      </c>
      <c r="D54">
        <v>2</v>
      </c>
      <c r="E54">
        <v>3</v>
      </c>
      <c r="F54">
        <v>2</v>
      </c>
      <c r="G54">
        <v>3</v>
      </c>
      <c r="H54">
        <v>4</v>
      </c>
      <c r="I54">
        <v>1</v>
      </c>
      <c r="J54">
        <v>3</v>
      </c>
      <c r="K54">
        <v>15</v>
      </c>
    </row>
    <row r="55" spans="1:11" x14ac:dyDescent="0.25">
      <c r="A55">
        <f t="shared" si="0"/>
        <v>11</v>
      </c>
      <c r="B55" t="s">
        <v>16</v>
      </c>
      <c r="C55">
        <v>3</v>
      </c>
      <c r="D55">
        <v>2</v>
      </c>
      <c r="E55">
        <v>4</v>
      </c>
      <c r="F55">
        <v>2</v>
      </c>
      <c r="G55">
        <v>2</v>
      </c>
      <c r="H55">
        <v>4</v>
      </c>
      <c r="I55">
        <v>1</v>
      </c>
      <c r="J55">
        <v>2</v>
      </c>
      <c r="K55">
        <v>25</v>
      </c>
    </row>
    <row r="56" spans="1:11" x14ac:dyDescent="0.25">
      <c r="A56">
        <f t="shared" si="0"/>
        <v>11</v>
      </c>
      <c r="B56" t="s">
        <v>17</v>
      </c>
      <c r="C56">
        <v>4</v>
      </c>
      <c r="D56">
        <v>3</v>
      </c>
      <c r="E56">
        <v>3</v>
      </c>
      <c r="F56">
        <v>4</v>
      </c>
      <c r="G56">
        <v>3</v>
      </c>
      <c r="H56">
        <v>3</v>
      </c>
      <c r="I56">
        <v>3</v>
      </c>
      <c r="J56">
        <v>3</v>
      </c>
      <c r="K56">
        <v>25</v>
      </c>
    </row>
    <row r="57" spans="1:11" x14ac:dyDescent="0.25">
      <c r="A57">
        <f t="shared" si="0"/>
        <v>11</v>
      </c>
      <c r="B57" t="s">
        <v>21</v>
      </c>
      <c r="C57">
        <v>2</v>
      </c>
      <c r="D57">
        <v>3</v>
      </c>
      <c r="E57">
        <v>4</v>
      </c>
      <c r="F57">
        <v>2</v>
      </c>
      <c r="G57">
        <v>3</v>
      </c>
      <c r="H57">
        <v>4</v>
      </c>
      <c r="I57">
        <v>2</v>
      </c>
      <c r="J57">
        <v>3</v>
      </c>
      <c r="K57">
        <v>10</v>
      </c>
    </row>
    <row r="58" spans="1:11" x14ac:dyDescent="0.25">
      <c r="A58">
        <f t="shared" si="0"/>
        <v>12</v>
      </c>
      <c r="B58" t="s">
        <v>12</v>
      </c>
      <c r="C58">
        <v>3</v>
      </c>
      <c r="D58">
        <v>4</v>
      </c>
      <c r="E58">
        <v>2</v>
      </c>
      <c r="F58">
        <v>2</v>
      </c>
      <c r="G58">
        <v>4</v>
      </c>
      <c r="H58">
        <v>2</v>
      </c>
      <c r="I58">
        <v>3</v>
      </c>
      <c r="J58">
        <v>5</v>
      </c>
      <c r="K58">
        <v>5</v>
      </c>
    </row>
    <row r="59" spans="1:11" x14ac:dyDescent="0.25">
      <c r="A59">
        <f t="shared" si="0"/>
        <v>12</v>
      </c>
      <c r="B59" t="s">
        <v>15</v>
      </c>
      <c r="C59">
        <v>2</v>
      </c>
      <c r="D59">
        <v>4</v>
      </c>
      <c r="E59">
        <v>2</v>
      </c>
      <c r="F59">
        <v>4</v>
      </c>
      <c r="G59">
        <v>4</v>
      </c>
      <c r="H59">
        <v>2</v>
      </c>
      <c r="I59">
        <v>2</v>
      </c>
      <c r="J59">
        <v>5</v>
      </c>
      <c r="K59">
        <v>25</v>
      </c>
    </row>
    <row r="60" spans="1:11" x14ac:dyDescent="0.25">
      <c r="A60">
        <f t="shared" si="0"/>
        <v>12</v>
      </c>
      <c r="B60" t="s">
        <v>16</v>
      </c>
      <c r="C60">
        <v>4</v>
      </c>
      <c r="D60">
        <v>5</v>
      </c>
      <c r="E60">
        <v>2</v>
      </c>
      <c r="F60">
        <v>2</v>
      </c>
      <c r="G60">
        <v>3</v>
      </c>
      <c r="H60">
        <v>2</v>
      </c>
      <c r="I60">
        <v>3</v>
      </c>
      <c r="J60">
        <v>3</v>
      </c>
      <c r="K60">
        <v>10</v>
      </c>
    </row>
    <row r="61" spans="1:11" x14ac:dyDescent="0.25">
      <c r="A61">
        <f t="shared" si="0"/>
        <v>12</v>
      </c>
      <c r="B61" t="s">
        <v>17</v>
      </c>
      <c r="C61">
        <v>4</v>
      </c>
      <c r="D61">
        <v>2</v>
      </c>
      <c r="E61">
        <v>2</v>
      </c>
      <c r="F61">
        <v>3</v>
      </c>
      <c r="G61">
        <v>2</v>
      </c>
      <c r="H61">
        <v>3</v>
      </c>
      <c r="I61">
        <v>3</v>
      </c>
      <c r="J61">
        <v>2</v>
      </c>
      <c r="K61">
        <v>30</v>
      </c>
    </row>
    <row r="62" spans="1:11" x14ac:dyDescent="0.25">
      <c r="A62">
        <f t="shared" si="0"/>
        <v>12</v>
      </c>
      <c r="B62" t="s">
        <v>21</v>
      </c>
      <c r="C62">
        <v>3</v>
      </c>
      <c r="D62">
        <v>3</v>
      </c>
      <c r="E62">
        <v>2</v>
      </c>
      <c r="F62">
        <v>3</v>
      </c>
      <c r="G62">
        <v>2</v>
      </c>
      <c r="H62">
        <v>2</v>
      </c>
      <c r="I62">
        <v>5</v>
      </c>
      <c r="J62">
        <v>3</v>
      </c>
      <c r="K62">
        <v>30</v>
      </c>
    </row>
    <row r="63" spans="1:11" x14ac:dyDescent="0.25">
      <c r="A63">
        <f t="shared" si="0"/>
        <v>13</v>
      </c>
      <c r="B63" t="s">
        <v>12</v>
      </c>
      <c r="C63">
        <v>4</v>
      </c>
      <c r="D63">
        <v>3</v>
      </c>
      <c r="E63">
        <v>3</v>
      </c>
      <c r="F63">
        <v>2</v>
      </c>
      <c r="G63">
        <v>3</v>
      </c>
      <c r="H63">
        <v>2</v>
      </c>
      <c r="I63">
        <v>5</v>
      </c>
      <c r="J63">
        <v>4</v>
      </c>
      <c r="K63">
        <v>10</v>
      </c>
    </row>
    <row r="64" spans="1:11" x14ac:dyDescent="0.25">
      <c r="A64">
        <f t="shared" si="0"/>
        <v>13</v>
      </c>
      <c r="B64" t="s">
        <v>15</v>
      </c>
      <c r="C64">
        <v>1</v>
      </c>
      <c r="D64">
        <v>3</v>
      </c>
      <c r="E64">
        <v>1</v>
      </c>
      <c r="F64">
        <v>3</v>
      </c>
      <c r="G64">
        <v>3</v>
      </c>
      <c r="H64">
        <v>5</v>
      </c>
      <c r="I64">
        <v>3</v>
      </c>
      <c r="J64">
        <v>2</v>
      </c>
      <c r="K64">
        <v>40</v>
      </c>
    </row>
    <row r="65" spans="1:11" x14ac:dyDescent="0.25">
      <c r="A65">
        <f t="shared" si="0"/>
        <v>13</v>
      </c>
      <c r="B65" t="s">
        <v>16</v>
      </c>
      <c r="C65">
        <v>1</v>
      </c>
      <c r="D65">
        <v>3</v>
      </c>
      <c r="E65">
        <v>1</v>
      </c>
      <c r="F65">
        <v>3</v>
      </c>
      <c r="G65">
        <v>3</v>
      </c>
      <c r="H65">
        <v>5</v>
      </c>
      <c r="I65">
        <v>3</v>
      </c>
      <c r="J65">
        <v>2</v>
      </c>
      <c r="K65">
        <v>30</v>
      </c>
    </row>
    <row r="66" spans="1:11" x14ac:dyDescent="0.25">
      <c r="A66">
        <f t="shared" si="0"/>
        <v>13</v>
      </c>
      <c r="B66" t="s">
        <v>17</v>
      </c>
      <c r="C66">
        <v>2</v>
      </c>
      <c r="D66">
        <v>2</v>
      </c>
      <c r="E66">
        <v>1</v>
      </c>
      <c r="F66">
        <v>2</v>
      </c>
      <c r="G66">
        <v>2</v>
      </c>
      <c r="H66">
        <v>4</v>
      </c>
      <c r="I66">
        <v>3</v>
      </c>
      <c r="J66">
        <v>2</v>
      </c>
      <c r="K66">
        <v>10</v>
      </c>
    </row>
    <row r="67" spans="1:11" x14ac:dyDescent="0.25">
      <c r="A67">
        <f t="shared" si="0"/>
        <v>13</v>
      </c>
      <c r="B67" t="s">
        <v>21</v>
      </c>
      <c r="C67">
        <v>2</v>
      </c>
      <c r="D67">
        <v>2</v>
      </c>
      <c r="E67">
        <v>3</v>
      </c>
      <c r="F67">
        <v>3</v>
      </c>
      <c r="G67">
        <v>2</v>
      </c>
      <c r="H67">
        <v>3</v>
      </c>
      <c r="I67">
        <v>3</v>
      </c>
      <c r="J67">
        <v>3</v>
      </c>
      <c r="K67">
        <v>10</v>
      </c>
    </row>
    <row r="68" spans="1:11" x14ac:dyDescent="0.25">
      <c r="A68">
        <f t="shared" si="0"/>
        <v>14</v>
      </c>
      <c r="B68" t="s">
        <v>12</v>
      </c>
      <c r="C68">
        <v>2</v>
      </c>
      <c r="D68">
        <v>5</v>
      </c>
      <c r="E68">
        <v>1</v>
      </c>
      <c r="F68">
        <v>1</v>
      </c>
      <c r="G68">
        <v>5</v>
      </c>
      <c r="H68">
        <v>1</v>
      </c>
      <c r="I68">
        <v>2</v>
      </c>
      <c r="J68">
        <v>5</v>
      </c>
      <c r="K68">
        <v>25</v>
      </c>
    </row>
    <row r="69" spans="1:11" x14ac:dyDescent="0.25">
      <c r="A69">
        <f t="shared" si="0"/>
        <v>14</v>
      </c>
      <c r="B69" t="s">
        <v>15</v>
      </c>
      <c r="C69">
        <v>1</v>
      </c>
      <c r="D69">
        <v>4</v>
      </c>
      <c r="E69">
        <v>1</v>
      </c>
      <c r="F69">
        <v>5</v>
      </c>
      <c r="G69">
        <v>5</v>
      </c>
      <c r="H69">
        <v>5</v>
      </c>
      <c r="I69">
        <v>1</v>
      </c>
      <c r="J69">
        <v>5</v>
      </c>
      <c r="K69">
        <v>15</v>
      </c>
    </row>
    <row r="70" spans="1:11" x14ac:dyDescent="0.25">
      <c r="A70">
        <f t="shared" si="0"/>
        <v>14</v>
      </c>
      <c r="B70" t="s">
        <v>16</v>
      </c>
      <c r="C70">
        <v>1</v>
      </c>
      <c r="D70">
        <v>3</v>
      </c>
      <c r="E70">
        <v>1</v>
      </c>
      <c r="F70">
        <v>4</v>
      </c>
      <c r="G70">
        <v>3</v>
      </c>
      <c r="H70">
        <v>5</v>
      </c>
      <c r="I70">
        <v>1</v>
      </c>
      <c r="J70">
        <v>3</v>
      </c>
      <c r="K70">
        <v>35</v>
      </c>
    </row>
    <row r="71" spans="1:11" x14ac:dyDescent="0.25">
      <c r="A71">
        <f t="shared" si="0"/>
        <v>14</v>
      </c>
      <c r="B71" t="s">
        <v>17</v>
      </c>
      <c r="C71">
        <v>2</v>
      </c>
      <c r="D71">
        <v>2</v>
      </c>
      <c r="E71">
        <v>3</v>
      </c>
      <c r="F71">
        <v>2</v>
      </c>
      <c r="G71">
        <v>2</v>
      </c>
      <c r="H71">
        <v>4</v>
      </c>
      <c r="I71">
        <v>2</v>
      </c>
      <c r="J71">
        <v>2</v>
      </c>
      <c r="K71">
        <v>15</v>
      </c>
    </row>
    <row r="72" spans="1:11" x14ac:dyDescent="0.25">
      <c r="A72">
        <f t="shared" si="0"/>
        <v>14</v>
      </c>
      <c r="B72" t="s">
        <v>21</v>
      </c>
      <c r="C72">
        <v>1</v>
      </c>
      <c r="D72">
        <v>4</v>
      </c>
      <c r="E72">
        <v>4</v>
      </c>
      <c r="F72">
        <v>3</v>
      </c>
      <c r="G72">
        <v>4</v>
      </c>
      <c r="H72">
        <v>5</v>
      </c>
      <c r="I72">
        <v>1</v>
      </c>
      <c r="J72">
        <v>3</v>
      </c>
      <c r="K72">
        <v>10</v>
      </c>
    </row>
  </sheetData>
  <autoFilter ref="B2:K2" xr:uid="{5FF7B648-58EB-4143-A931-90154B3A1C7E}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3FE1A-4509-4C0A-8AC5-9B5BA4FE3AE2}">
  <sheetPr codeName="Tabelle5"/>
  <dimension ref="A1:O120"/>
  <sheetViews>
    <sheetView topLeftCell="C1" zoomScale="56" zoomScaleNormal="115" workbookViewId="0">
      <selection activeCell="Q4" sqref="Q4"/>
    </sheetView>
  </sheetViews>
  <sheetFormatPr defaultColWidth="10.85546875" defaultRowHeight="15" x14ac:dyDescent="0.25"/>
  <cols>
    <col min="2" max="2" width="16.85546875" bestFit="1" customWidth="1"/>
    <col min="3" max="3" width="17.140625" customWidth="1"/>
    <col min="4" max="5" width="16.5703125" bestFit="1" customWidth="1"/>
    <col min="6" max="7" width="27" bestFit="1" customWidth="1"/>
    <col min="8" max="8" width="38.28515625" bestFit="1" customWidth="1"/>
    <col min="9" max="9" width="38.140625" bestFit="1" customWidth="1"/>
    <col min="10" max="10" width="26.140625" bestFit="1" customWidth="1"/>
    <col min="11" max="12" width="26" bestFit="1" customWidth="1"/>
  </cols>
  <sheetData>
    <row r="1" spans="1:15" x14ac:dyDescent="0.2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5" ht="30" x14ac:dyDescent="0.25">
      <c r="D2" s="4" t="s">
        <v>63</v>
      </c>
      <c r="E2" s="12" t="s">
        <v>64</v>
      </c>
      <c r="F2" s="4" t="s">
        <v>65</v>
      </c>
      <c r="G2" s="4" t="s">
        <v>66</v>
      </c>
      <c r="H2" s="4" t="s">
        <v>67</v>
      </c>
      <c r="I2" s="4" t="s">
        <v>68</v>
      </c>
      <c r="J2" s="4" t="s">
        <v>51</v>
      </c>
      <c r="K2" s="4" t="s">
        <v>52</v>
      </c>
    </row>
    <row r="3" spans="1:15" x14ac:dyDescent="0.2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  <c r="M3" s="15" t="s">
        <v>57</v>
      </c>
    </row>
    <row r="4" spans="1:15" x14ac:dyDescent="0.25">
      <c r="A4" t="s">
        <v>12</v>
      </c>
      <c r="B4">
        <f>INDEX($A$47:$K$63,MATCH($B$1,$A$47:$A$63,0),MATCH(B$3,$A$47:$K$47,0))</f>
        <v>11.428571428571429</v>
      </c>
      <c r="C4" s="5">
        <f>B4/SUM($B$4:$B$8)</f>
        <v>0.11228070175438598</v>
      </c>
      <c r="D4">
        <f t="shared" ref="D4:K4" si="0">INDEX($A$47:$K$63,MATCH($B$1,$A$47:$A$63,0),MATCH(D$3,$A$47:$K$47,0))</f>
        <v>3.7857142857142856</v>
      </c>
      <c r="E4">
        <f t="shared" si="0"/>
        <v>4.2857142857142856</v>
      </c>
      <c r="F4">
        <f t="shared" si="0"/>
        <v>2.6428571428571428</v>
      </c>
      <c r="G4">
        <f t="shared" si="0"/>
        <v>3.0714285714285716</v>
      </c>
      <c r="H4">
        <f t="shared" si="0"/>
        <v>3.2857142857142856</v>
      </c>
      <c r="I4">
        <f t="shared" si="0"/>
        <v>2</v>
      </c>
      <c r="J4">
        <f t="shared" si="0"/>
        <v>3.6428571428571428</v>
      </c>
      <c r="K4">
        <f t="shared" si="0"/>
        <v>3.5714285714285716</v>
      </c>
      <c r="L4" t="s">
        <v>58</v>
      </c>
      <c r="M4" t="s">
        <v>69</v>
      </c>
      <c r="N4" t="s">
        <v>70</v>
      </c>
      <c r="O4" t="s">
        <v>71</v>
      </c>
    </row>
    <row r="5" spans="1:15" x14ac:dyDescent="0.25">
      <c r="A5" t="s">
        <v>15</v>
      </c>
      <c r="B5">
        <f>INDEX($A$66:$K$82,MATCH($B$1,$A$66:$A$82,0),MATCH(B$3,$A$66:$K$66,0))</f>
        <v>25</v>
      </c>
      <c r="C5" s="5">
        <f t="shared" ref="C5:C8" si="1">B5/SUM($B$4:$B$8)</f>
        <v>0.24561403508771931</v>
      </c>
      <c r="D5">
        <f t="shared" ref="D5:K5" si="2">INDEX($A$66:$K$82,MATCH($B$1,$A$66:$A$82,0),MATCH(D$3,$A$66:$K$66,0))</f>
        <v>2.4285714285714284</v>
      </c>
      <c r="E5">
        <f t="shared" si="2"/>
        <v>3.7142857142857144</v>
      </c>
      <c r="F5">
        <f t="shared" si="2"/>
        <v>2.3571428571428572</v>
      </c>
      <c r="G5">
        <f t="shared" si="2"/>
        <v>4</v>
      </c>
      <c r="H5">
        <f t="shared" si="2"/>
        <v>3.6428571428571428</v>
      </c>
      <c r="I5">
        <f t="shared" si="2"/>
        <v>4</v>
      </c>
      <c r="J5">
        <f t="shared" si="2"/>
        <v>2.2142857142857144</v>
      </c>
      <c r="K5">
        <f t="shared" si="2"/>
        <v>3.5</v>
      </c>
      <c r="L5" t="s">
        <v>58</v>
      </c>
      <c r="M5" s="26">
        <v>0.11228070175438598</v>
      </c>
      <c r="N5" s="26">
        <v>0.1277777777777778</v>
      </c>
      <c r="O5" s="26">
        <v>0.30206677265500792</v>
      </c>
    </row>
    <row r="6" spans="1:15" x14ac:dyDescent="0.25">
      <c r="A6" t="s">
        <v>17</v>
      </c>
      <c r="B6">
        <f>INDEX($A$85:$K$101,MATCH($B$1,$A$85:$A$101,0),MATCH(B$3,$A$85:$K$85,0))</f>
        <v>13.928571428571429</v>
      </c>
      <c r="C6" s="5">
        <f t="shared" si="1"/>
        <v>0.1368421052631579</v>
      </c>
      <c r="D6">
        <f t="shared" ref="D6:K6" si="3">INDEX($A$85:$K$101,MATCH($B$1,$A$85:$A$101,0),MATCH(D$3,$A$85:$K$85,0))</f>
        <v>3.5</v>
      </c>
      <c r="E6">
        <f t="shared" si="3"/>
        <v>3</v>
      </c>
      <c r="F6">
        <f t="shared" si="3"/>
        <v>2.3571428571428572</v>
      </c>
      <c r="G6">
        <f t="shared" si="3"/>
        <v>3.2857142857142856</v>
      </c>
      <c r="H6">
        <f t="shared" si="3"/>
        <v>2.4285714285714284</v>
      </c>
      <c r="I6">
        <f t="shared" si="3"/>
        <v>2.8571428571428572</v>
      </c>
      <c r="J6">
        <f t="shared" si="3"/>
        <v>2.8571428571428572</v>
      </c>
      <c r="K6">
        <f t="shared" si="3"/>
        <v>2.5714285714285716</v>
      </c>
      <c r="L6" t="s">
        <v>59</v>
      </c>
      <c r="M6" s="26">
        <v>0.24561403508771931</v>
      </c>
      <c r="N6" s="26">
        <v>0.28888888888888892</v>
      </c>
      <c r="O6" s="26">
        <v>0.24165341812400631</v>
      </c>
    </row>
    <row r="7" spans="1:15" x14ac:dyDescent="0.25">
      <c r="A7" t="s">
        <v>16</v>
      </c>
      <c r="B7">
        <f>INDEX($A$28:$K$44,MATCH($B$1,$A$28:$A$44,0),MATCH(B$3,$A$28:$K$28,0))</f>
        <v>34.285714285714285</v>
      </c>
      <c r="C7" s="5">
        <f t="shared" si="1"/>
        <v>0.33684210526315789</v>
      </c>
      <c r="D7">
        <f t="shared" ref="D7:K7" si="4">INDEX($A$28:$K$44,MATCH($B$1,$A$28:$A$44,0),MATCH(D$3,$A$28:$K$28,0))</f>
        <v>2.5</v>
      </c>
      <c r="E7">
        <f t="shared" si="4"/>
        <v>3.7857142857142856</v>
      </c>
      <c r="F7">
        <f t="shared" si="4"/>
        <v>2.6428571428571428</v>
      </c>
      <c r="G7">
        <f t="shared" si="4"/>
        <v>3.8571428571428572</v>
      </c>
      <c r="H7">
        <f t="shared" si="4"/>
        <v>2.8571428571428572</v>
      </c>
      <c r="I7">
        <f t="shared" si="4"/>
        <v>3.5714285714285716</v>
      </c>
      <c r="J7">
        <f t="shared" si="4"/>
        <v>2.4285714285714284</v>
      </c>
      <c r="K7">
        <f t="shared" si="4"/>
        <v>2.7857142857142856</v>
      </c>
      <c r="L7" t="s">
        <v>60</v>
      </c>
      <c r="M7" s="26">
        <v>0.1368421052631579</v>
      </c>
      <c r="N7" s="26">
        <v>0.15</v>
      </c>
      <c r="O7" s="26">
        <v>0.13990461049284578</v>
      </c>
    </row>
    <row r="8" spans="1:15" x14ac:dyDescent="0.25">
      <c r="A8" t="s">
        <v>19</v>
      </c>
      <c r="B8">
        <f>INDEX($A$104:$K$120,MATCH($B$1,$A$104:$A$120,0),MATCH(B$3,$A$104:$K$104,0))</f>
        <v>17.142857142857142</v>
      </c>
      <c r="C8" s="5">
        <f t="shared" si="1"/>
        <v>0.16842105263157894</v>
      </c>
      <c r="D8">
        <f t="shared" ref="D8:K8" si="5">INDEX($A$104:$K$120,MATCH($B$1,$A$104:$A$120,0),MATCH(D$3,$A$104:$K$104,0))</f>
        <v>2.6428571428571428</v>
      </c>
      <c r="E8">
        <f t="shared" si="5"/>
        <v>3.7142857142857144</v>
      </c>
      <c r="F8">
        <f t="shared" si="5"/>
        <v>3.1428571428571428</v>
      </c>
      <c r="G8">
        <f t="shared" si="5"/>
        <v>3.6428571428571428</v>
      </c>
      <c r="H8">
        <f t="shared" si="5"/>
        <v>3.3571428571428572</v>
      </c>
      <c r="I8">
        <f t="shared" si="5"/>
        <v>3.5</v>
      </c>
      <c r="J8">
        <f t="shared" si="5"/>
        <v>2.7142857142857144</v>
      </c>
      <c r="K8">
        <f t="shared" si="5"/>
        <v>3.3571428571428572</v>
      </c>
      <c r="L8" t="s">
        <v>61</v>
      </c>
      <c r="M8" s="26">
        <v>0.33684210526315789</v>
      </c>
      <c r="N8" s="26">
        <v>0.25</v>
      </c>
      <c r="O8" s="26">
        <v>0.18282988871224165</v>
      </c>
    </row>
    <row r="9" spans="1:15" x14ac:dyDescent="0.25">
      <c r="A9" s="2" t="s">
        <v>27</v>
      </c>
      <c r="B9" s="2"/>
      <c r="C9" s="2" t="s">
        <v>69</v>
      </c>
      <c r="D9" s="6">
        <f>SUMPRODUCT($C$4:$C$8,D4:D8)</f>
        <v>2.7877192982456136</v>
      </c>
      <c r="E9" s="6">
        <f t="shared" ref="E9:K9" si="6">SUMPRODUCT($C$4:$C$8,E4:E8)</f>
        <v>3.7047619047619049</v>
      </c>
      <c r="F9" s="6">
        <f t="shared" si="6"/>
        <v>2.6177944862155389</v>
      </c>
      <c r="G9" s="6">
        <f t="shared" si="6"/>
        <v>3.689724310776942</v>
      </c>
      <c r="H9" s="6">
        <f t="shared" si="6"/>
        <v>3.1238095238095234</v>
      </c>
      <c r="I9" s="6">
        <f t="shared" si="6"/>
        <v>3.3904761904761909</v>
      </c>
      <c r="J9" s="6">
        <f t="shared" si="6"/>
        <v>2.6190476190476195</v>
      </c>
      <c r="K9" s="6">
        <f t="shared" si="6"/>
        <v>3.1162907268170423</v>
      </c>
      <c r="L9" t="s">
        <v>62</v>
      </c>
      <c r="M9" s="26">
        <v>0.16842105263157894</v>
      </c>
      <c r="N9" s="26">
        <v>0.18333333333333332</v>
      </c>
      <c r="O9" s="26">
        <v>0.13354531001589823</v>
      </c>
    </row>
    <row r="10" spans="1:15" x14ac:dyDescent="0.25">
      <c r="C10" t="s">
        <v>70</v>
      </c>
      <c r="D10" s="6">
        <v>2.3567901234567903</v>
      </c>
      <c r="E10" s="6">
        <v>3.2129629629629628</v>
      </c>
      <c r="F10" s="6">
        <v>2.384567901234568</v>
      </c>
      <c r="G10" s="6">
        <v>2.8154320987654322</v>
      </c>
      <c r="H10" s="6">
        <v>2.7067901234567904</v>
      </c>
      <c r="I10" s="6">
        <v>3.4314814814814816</v>
      </c>
      <c r="J10" s="6">
        <v>2.3944444444444448</v>
      </c>
      <c r="K10" s="6">
        <v>2.8222222222222224</v>
      </c>
    </row>
    <row r="11" spans="1:15" x14ac:dyDescent="0.25">
      <c r="C11" t="s">
        <v>71</v>
      </c>
      <c r="D11" s="6">
        <v>3.064758876523582</v>
      </c>
      <c r="E11" s="6">
        <v>3.5850556438791727</v>
      </c>
      <c r="F11" s="6">
        <v>2.2011658717541067</v>
      </c>
      <c r="G11" s="6">
        <v>3.9586645468998403</v>
      </c>
      <c r="H11" s="6">
        <v>2.9416534181240057</v>
      </c>
      <c r="I11" s="6">
        <v>3.3311605723370423</v>
      </c>
      <c r="J11" s="6">
        <v>2.5269740328563857</v>
      </c>
      <c r="K11" s="6">
        <v>3.0412294647588762</v>
      </c>
    </row>
    <row r="12" spans="1:15" x14ac:dyDescent="0.25">
      <c r="C12" s="2" t="s">
        <v>53</v>
      </c>
      <c r="D12" s="27">
        <f>STDEV(D4:D8)</f>
        <v>0.62596863714876072</v>
      </c>
      <c r="E12" s="27">
        <f t="shared" ref="E12:K12" si="7">STDEV(E4:E8)</f>
        <v>0.45848018673946378</v>
      </c>
      <c r="F12" s="27">
        <f t="shared" si="7"/>
        <v>0.32103150077492038</v>
      </c>
      <c r="G12" s="27">
        <f t="shared" si="7"/>
        <v>0.38795644611429336</v>
      </c>
      <c r="H12" s="27">
        <f t="shared" si="7"/>
        <v>0.47541603692267609</v>
      </c>
      <c r="I12" s="27">
        <f t="shared" si="7"/>
        <v>0.77853866248221126</v>
      </c>
      <c r="J12" s="27">
        <f t="shared" si="7"/>
        <v>0.54725660883936988</v>
      </c>
      <c r="K12" s="27">
        <f t="shared" si="7"/>
        <v>0.45005668577209862</v>
      </c>
    </row>
    <row r="13" spans="1:15" x14ac:dyDescent="0.25">
      <c r="C13" t="s">
        <v>54</v>
      </c>
      <c r="D13" s="27">
        <v>0.93491928746500441</v>
      </c>
      <c r="E13" s="27">
        <v>0.28974232912011788</v>
      </c>
      <c r="F13" s="27">
        <v>0.32960882164869387</v>
      </c>
      <c r="G13" s="27">
        <v>0.32394177193585005</v>
      </c>
      <c r="H13" s="27">
        <v>0.29814239699997191</v>
      </c>
      <c r="I13" s="27">
        <v>0.75522868746517635</v>
      </c>
      <c r="J13" s="27">
        <v>0.8520128672302586</v>
      </c>
      <c r="K13" s="27">
        <v>0.34605358894216437</v>
      </c>
    </row>
    <row r="14" spans="1:15" x14ac:dyDescent="0.25">
      <c r="C14" t="s">
        <v>55</v>
      </c>
      <c r="D14">
        <v>0.47410734836931129</v>
      </c>
      <c r="E14">
        <v>0.70118946559875217</v>
      </c>
      <c r="F14">
        <v>0.39256988054499176</v>
      </c>
      <c r="G14">
        <v>0.36514837167011061</v>
      </c>
      <c r="H14">
        <v>0.77474009978974456</v>
      </c>
      <c r="I14">
        <v>0.81048682215622003</v>
      </c>
      <c r="J14">
        <v>0.47222875812470461</v>
      </c>
      <c r="K14">
        <v>0.61445549517890741</v>
      </c>
    </row>
    <row r="15" spans="1:15" x14ac:dyDescent="0.25">
      <c r="A15" s="1" t="s">
        <v>25</v>
      </c>
      <c r="B15" s="1" t="s">
        <v>24</v>
      </c>
      <c r="C15" s="3"/>
      <c r="D15" s="3"/>
      <c r="E15" s="3"/>
      <c r="F15" s="3"/>
      <c r="G15" s="3"/>
      <c r="H15" s="3"/>
      <c r="I15" s="3"/>
      <c r="J15" s="3"/>
      <c r="K15" s="3"/>
    </row>
    <row r="16" spans="1:15" x14ac:dyDescent="0.25">
      <c r="B16" s="30" t="s">
        <v>28</v>
      </c>
      <c r="C16" s="30"/>
      <c r="D16" s="30"/>
      <c r="E16" s="30"/>
      <c r="F16" s="30"/>
      <c r="G16" s="30"/>
      <c r="H16" s="30"/>
      <c r="I16" s="30"/>
    </row>
    <row r="17" spans="1:11" x14ac:dyDescent="0.25">
      <c r="A17" s="4" t="s">
        <v>0</v>
      </c>
      <c r="B17" s="4" t="s">
        <v>10</v>
      </c>
      <c r="C17" s="4" t="s">
        <v>26</v>
      </c>
      <c r="D17" s="4" t="s">
        <v>1</v>
      </c>
      <c r="E17" s="12" t="s">
        <v>37</v>
      </c>
      <c r="F17" s="4" t="s">
        <v>3</v>
      </c>
      <c r="G17" s="4" t="s">
        <v>38</v>
      </c>
      <c r="H17" s="4" t="s">
        <v>5</v>
      </c>
      <c r="I17" s="4" t="s">
        <v>41</v>
      </c>
      <c r="J17" s="4" t="s">
        <v>42</v>
      </c>
      <c r="K17" s="4" t="s">
        <v>39</v>
      </c>
    </row>
    <row r="18" spans="1:11" x14ac:dyDescent="0.25">
      <c r="A18" t="s">
        <v>12</v>
      </c>
      <c r="B18">
        <f>INDEX($A$47:$K$63,MATCH($B$15,$A$47:$A$63,0),MATCH(B$17,$A$47:$K$47,0))</f>
        <v>10</v>
      </c>
      <c r="C18" s="5">
        <f>B18/SUM($B$18:$B$22)</f>
        <v>0.10810810810810811</v>
      </c>
      <c r="D18">
        <f t="shared" ref="D18:K18" si="8">INDEX($A$47:$K$63,MATCH($B$15,$A$47:$A$63,0),MATCH(D$17,$A$47:$K$47,0))</f>
        <v>4</v>
      </c>
      <c r="E18">
        <f t="shared" si="8"/>
        <v>4</v>
      </c>
      <c r="F18">
        <f t="shared" si="8"/>
        <v>2.5</v>
      </c>
      <c r="G18">
        <f t="shared" si="8"/>
        <v>3</v>
      </c>
      <c r="H18">
        <f t="shared" si="8"/>
        <v>3</v>
      </c>
      <c r="I18">
        <f t="shared" si="8"/>
        <v>2</v>
      </c>
      <c r="J18">
        <f t="shared" si="8"/>
        <v>4</v>
      </c>
      <c r="K18">
        <f t="shared" si="8"/>
        <v>4</v>
      </c>
    </row>
    <row r="19" spans="1:11" x14ac:dyDescent="0.25">
      <c r="A19" t="s">
        <v>15</v>
      </c>
      <c r="B19">
        <f>INDEX($A$66:$K$82,MATCH($B$15,$A$66:$A$82,0),MATCH(B$17,$A$66:$K$66,0))</f>
        <v>25</v>
      </c>
      <c r="C19" s="5">
        <f t="shared" ref="C19:C22" si="9">B19/SUM($B$18:$B$22)</f>
        <v>0.27027027027027029</v>
      </c>
      <c r="D19">
        <f t="shared" ref="D19:K19" si="10">INDEX($A$66:$K$82,MATCH($B$15,$A$66:$A$82,0),MATCH(D$17,$A$66:$K$66,0))</f>
        <v>2</v>
      </c>
      <c r="E19">
        <f t="shared" si="10"/>
        <v>4</v>
      </c>
      <c r="F19">
        <f t="shared" si="10"/>
        <v>2</v>
      </c>
      <c r="G19">
        <f t="shared" si="10"/>
        <v>4</v>
      </c>
      <c r="H19">
        <f t="shared" si="10"/>
        <v>3.5</v>
      </c>
      <c r="I19">
        <f t="shared" si="10"/>
        <v>4.5</v>
      </c>
      <c r="J19">
        <f t="shared" si="10"/>
        <v>2</v>
      </c>
      <c r="K19">
        <f t="shared" si="10"/>
        <v>3.5</v>
      </c>
    </row>
    <row r="20" spans="1:11" x14ac:dyDescent="0.25">
      <c r="A20" t="s">
        <v>17</v>
      </c>
      <c r="B20">
        <f>INDEX($A$85:$K$101,MATCH($B$15,$A$85:$A$101,0),MATCH(B$17,$A$85:$K$85,0))</f>
        <v>12.5</v>
      </c>
      <c r="C20" s="5">
        <f t="shared" si="9"/>
        <v>0.13513513513513514</v>
      </c>
      <c r="D20">
        <f t="shared" ref="D20:K20" si="11">INDEX($A$85:$K$101,MATCH($B$15,$A$85:$A$101,0),MATCH(D$17,$A$85:$K$85,0))</f>
        <v>4</v>
      </c>
      <c r="E20">
        <f t="shared" si="11"/>
        <v>3</v>
      </c>
      <c r="F20">
        <f t="shared" si="11"/>
        <v>2</v>
      </c>
      <c r="G20">
        <f t="shared" si="11"/>
        <v>3</v>
      </c>
      <c r="H20">
        <f t="shared" si="11"/>
        <v>2.5</v>
      </c>
      <c r="I20">
        <f t="shared" si="11"/>
        <v>3</v>
      </c>
      <c r="J20">
        <f t="shared" si="11"/>
        <v>3</v>
      </c>
      <c r="K20">
        <f t="shared" si="11"/>
        <v>3</v>
      </c>
    </row>
    <row r="21" spans="1:11" x14ac:dyDescent="0.25">
      <c r="A21" t="s">
        <v>16</v>
      </c>
      <c r="B21">
        <f>INDEX($A$28:$K$44,MATCH($B$15,$A$28:$A$44,0),MATCH(B$17,$A$28:$K$28,0))</f>
        <v>30</v>
      </c>
      <c r="C21" s="5">
        <f t="shared" si="9"/>
        <v>0.32432432432432434</v>
      </c>
      <c r="D21">
        <f t="shared" ref="D21:K21" si="12">INDEX($A$28:$K$44,MATCH($B$15,$A$28:$A$44,0),MATCH(D$17,$A$28:$K$28,0))</f>
        <v>3</v>
      </c>
      <c r="E21">
        <f t="shared" si="12"/>
        <v>4</v>
      </c>
      <c r="F21">
        <f t="shared" si="12"/>
        <v>3</v>
      </c>
      <c r="G21">
        <f t="shared" si="12"/>
        <v>4</v>
      </c>
      <c r="H21">
        <f t="shared" si="12"/>
        <v>3</v>
      </c>
      <c r="I21">
        <f t="shared" si="12"/>
        <v>4</v>
      </c>
      <c r="J21">
        <f t="shared" si="12"/>
        <v>3</v>
      </c>
      <c r="K21">
        <f t="shared" si="12"/>
        <v>2.5</v>
      </c>
    </row>
    <row r="22" spans="1:11" x14ac:dyDescent="0.25">
      <c r="A22" t="s">
        <v>19</v>
      </c>
      <c r="B22">
        <f>INDEX($A$104:$K$120,MATCH($B$15,$A$104:$A$120,0),MATCH(B$17,$A$104:$K$104,0))</f>
        <v>15</v>
      </c>
      <c r="C22" s="5">
        <f t="shared" si="9"/>
        <v>0.16216216216216217</v>
      </c>
      <c r="D22">
        <f t="shared" ref="D22:K22" si="13">INDEX($A$104:$K$120,MATCH($B$15,$A$104:$A$120,0),MATCH(D$17,$A$104:$K$104,0))</f>
        <v>2.5</v>
      </c>
      <c r="E22">
        <f t="shared" si="13"/>
        <v>4</v>
      </c>
      <c r="F22">
        <f t="shared" si="13"/>
        <v>3</v>
      </c>
      <c r="G22">
        <f t="shared" si="13"/>
        <v>3</v>
      </c>
      <c r="H22">
        <f t="shared" si="13"/>
        <v>3</v>
      </c>
      <c r="I22">
        <f t="shared" si="13"/>
        <v>4</v>
      </c>
      <c r="J22">
        <f t="shared" si="13"/>
        <v>3</v>
      </c>
      <c r="K22">
        <f t="shared" si="13"/>
        <v>3</v>
      </c>
    </row>
    <row r="23" spans="1:11" x14ac:dyDescent="0.25">
      <c r="A23" s="2" t="s">
        <v>27</v>
      </c>
      <c r="B23" s="2"/>
      <c r="C23" s="2"/>
      <c r="D23" s="6">
        <f>SUMPRODUCT($C$4:$C$8,D18:D22)</f>
        <v>2.9192982456140353</v>
      </c>
      <c r="E23" s="6">
        <f t="shared" ref="E23" si="14">SUMPRODUCT($C$4:$C$8,E18:E22)</f>
        <v>3.8631578947368417</v>
      </c>
      <c r="F23" s="6">
        <f t="shared" ref="F23" si="15">SUMPRODUCT($C$4:$C$8,F18:F22)</f>
        <v>2.5614035087719298</v>
      </c>
      <c r="G23" s="6">
        <f t="shared" ref="G23" si="16">SUMPRODUCT($C$4:$C$8,G18:G22)</f>
        <v>3.5824561403508772</v>
      </c>
      <c r="H23" s="6">
        <f t="shared" ref="H23" si="17">SUMPRODUCT($C$4:$C$8,H18:H22)</f>
        <v>3.0543859649122806</v>
      </c>
      <c r="I23" s="6">
        <f t="shared" ref="I23" si="18">SUMPRODUCT($C$4:$C$8,I18:I22)</f>
        <v>3.7614035087719295</v>
      </c>
      <c r="J23" s="6">
        <f t="shared" ref="J23" si="19">SUMPRODUCT($C$4:$C$8,J18:J22)</f>
        <v>2.8666666666666671</v>
      </c>
      <c r="K23" s="6">
        <f t="shared" ref="K23" si="20">SUMPRODUCT($C$4:$C$8,K18:K22)</f>
        <v>3.0666666666666664</v>
      </c>
    </row>
    <row r="28" spans="1:11" x14ac:dyDescent="0.25">
      <c r="A28" s="1" t="s">
        <v>22</v>
      </c>
      <c r="B28" s="1" t="s">
        <v>0</v>
      </c>
      <c r="C28" s="1" t="s">
        <v>1</v>
      </c>
      <c r="D28" s="1" t="s">
        <v>37</v>
      </c>
      <c r="E28" s="1" t="s">
        <v>3</v>
      </c>
      <c r="F28" s="1" t="s">
        <v>38</v>
      </c>
      <c r="G28" s="1" t="s">
        <v>5</v>
      </c>
      <c r="H28" s="1" t="s">
        <v>41</v>
      </c>
      <c r="I28" s="1" t="s">
        <v>42</v>
      </c>
      <c r="J28" s="13" t="s">
        <v>39</v>
      </c>
      <c r="K28" s="1" t="s">
        <v>10</v>
      </c>
    </row>
    <row r="29" spans="1:11" x14ac:dyDescent="0.25">
      <c r="A29">
        <v>1</v>
      </c>
      <c r="B29" t="s">
        <v>16</v>
      </c>
      <c r="C29" cm="1">
        <f t="array" ref="C29">INDEX(Low_Complexity!$A$2:$K$72,MATCH(1,INDEX((Analysis_Low!$A29=Low_Complexity!$A$2:$A$72)*(Analysis_Low!$B29=Low_Complexity!$B$2:$B$72),0,1),0),MATCH(Analysis_Low!C$28,Low_Complexity!$A$2:$K$2,0))</f>
        <v>3</v>
      </c>
      <c r="D29" cm="1">
        <f t="array" ref="D29">INDEX(Low_Complexity!$A$2:$K$72,MATCH(1,INDEX((Analysis_Low!$A29=Low_Complexity!$A$2:$A$72)*(Analysis_Low!$B29=Low_Complexity!$B$2:$B$72),0,1),0),MATCH(Analysis_Low!D$28,Low_Complexity!$A$2:$K$2,0))</f>
        <v>4</v>
      </c>
      <c r="E29" cm="1">
        <f t="array" ref="E29">INDEX(Low_Complexity!$A$2:$K$72,MATCH(1,INDEX((Analysis_Low!$A29=Low_Complexity!$A$2:$A$72)*(Analysis_Low!$B29=Low_Complexity!$B$2:$B$72),0,1),0),MATCH(Analysis_Low!E$28,Low_Complexity!$A$2:$K$2,0))</f>
        <v>4</v>
      </c>
      <c r="F29" cm="1">
        <f t="array" ref="F29">INDEX(Low_Complexity!$A$2:$K$72,MATCH(1,INDEX((Analysis_Low!$A29=Low_Complexity!$A$2:$A$72)*(Analysis_Low!$B29=Low_Complexity!$B$2:$B$72),0,1),0),MATCH(Analysis_Low!F$28,Low_Complexity!$A$2:$K$2,0))</f>
        <v>5</v>
      </c>
      <c r="G29" cm="1">
        <f t="array" ref="G29">INDEX(Low_Complexity!$A$2:$K$72,MATCH(1,INDEX((Analysis_Low!$A29=Low_Complexity!$A$2:$A$72)*(Analysis_Low!$B29=Low_Complexity!$B$2:$B$72),0,1),0),MATCH(Analysis_Low!G$28,Low_Complexity!$A$2:$K$2,0))</f>
        <v>4</v>
      </c>
      <c r="H29" cm="1">
        <f t="array" ref="H29">INDEX(Low_Complexity!$A$2:$K$72,MATCH(1,INDEX((Analysis_Low!$A29=Low_Complexity!$A$2:$A$72)*(Analysis_Low!$B29=Low_Complexity!$B$2:$B$72),0,1),0),MATCH(Analysis_Low!H$28,Low_Complexity!$A$2:$K$2,0))</f>
        <v>4</v>
      </c>
      <c r="I29" cm="1">
        <f t="array" ref="I29">INDEX(Low_Complexity!$A$2:$K$72,MATCH(1,INDEX((Analysis_Low!$A29=Low_Complexity!$A$2:$A$72)*(Analysis_Low!$B29=Low_Complexity!$B$2:$B$72),0,1),0),MATCH(Analysis_Low!I$28,Low_Complexity!$A$2:$K$2,0))</f>
        <v>3</v>
      </c>
      <c r="J29" cm="1">
        <f t="array" ref="J29">INDEX(Low_Complexity!$A$2:$K$72,MATCH(1,INDEX((Analysis_Low!$A29=Low_Complexity!$A$2:$A$72)*(Analysis_Low!$B29=Low_Complexity!$B$2:$B$72),0,1),0),MATCH(Analysis_Low!J$28,Low_Complexity!$A$2:$K$2,0))</f>
        <v>4</v>
      </c>
      <c r="K29" cm="1">
        <f t="array" ref="K29">INDEX(Low_Complexity!$A$2:$K$72,MATCH(1,INDEX((Analysis_Low!$A29=Low_Complexity!$A$2:$A$72)*(Analysis_Low!$B29=Low_Complexity!$B$2:$B$72),0,1),0),MATCH(Analysis_Low!K$28,Low_Complexity!$A$2:$K$2,0))</f>
        <v>30</v>
      </c>
    </row>
    <row r="30" spans="1:11" x14ac:dyDescent="0.25">
      <c r="A30">
        <f>A29+1</f>
        <v>2</v>
      </c>
      <c r="B30" t="s">
        <v>16</v>
      </c>
      <c r="C30" cm="1">
        <f t="array" ref="C30">INDEX(Low_Complexity!$A$2:$K$72,MATCH(1,INDEX((Analysis_Low!$A30=Low_Complexity!$A$2:$A$72)*(Analysis_Low!$B30=Low_Complexity!$B$2:$B$72),0,1),0),MATCH(Analysis_Low!C$28,Low_Complexity!$A$2:$K$2,0))</f>
        <v>1</v>
      </c>
      <c r="D30" cm="1">
        <f t="array" ref="D30">INDEX(Low_Complexity!$A$2:$K$72,MATCH(1,INDEX((Analysis_Low!$A30=Low_Complexity!$A$2:$A$72)*(Analysis_Low!$B30=Low_Complexity!$B$2:$B$72),0,1),0),MATCH(Analysis_Low!D$28,Low_Complexity!$A$2:$K$2,0))</f>
        <v>3</v>
      </c>
      <c r="E30" cm="1">
        <f t="array" ref="E30">INDEX(Low_Complexity!$A$2:$K$72,MATCH(1,INDEX((Analysis_Low!$A30=Low_Complexity!$A$2:$A$72)*(Analysis_Low!$B30=Low_Complexity!$B$2:$B$72),0,1),0),MATCH(Analysis_Low!E$28,Low_Complexity!$A$2:$K$2,0))</f>
        <v>3</v>
      </c>
      <c r="F30" cm="1">
        <f t="array" ref="F30">INDEX(Low_Complexity!$A$2:$K$72,MATCH(1,INDEX((Analysis_Low!$A30=Low_Complexity!$A$2:$A$72)*(Analysis_Low!$B30=Low_Complexity!$B$2:$B$72),0,1),0),MATCH(Analysis_Low!F$28,Low_Complexity!$A$2:$K$2,0))</f>
        <v>4</v>
      </c>
      <c r="G30" cm="1">
        <f t="array" ref="G30">INDEX(Low_Complexity!$A$2:$K$72,MATCH(1,INDEX((Analysis_Low!$A30=Low_Complexity!$A$2:$A$72)*(Analysis_Low!$B30=Low_Complexity!$B$2:$B$72),0,1),0),MATCH(Analysis_Low!G$28,Low_Complexity!$A$2:$K$2,0))</f>
        <v>4</v>
      </c>
      <c r="H30" cm="1">
        <f t="array" ref="H30">INDEX(Low_Complexity!$A$2:$K$72,MATCH(1,INDEX((Analysis_Low!$A30=Low_Complexity!$A$2:$A$72)*(Analysis_Low!$B30=Low_Complexity!$B$2:$B$72),0,1),0),MATCH(Analysis_Low!H$28,Low_Complexity!$A$2:$K$2,0))</f>
        <v>5</v>
      </c>
      <c r="I30" cm="1">
        <f t="array" ref="I30">INDEX(Low_Complexity!$A$2:$K$72,MATCH(1,INDEX((Analysis_Low!$A30=Low_Complexity!$A$2:$A$72)*(Analysis_Low!$B30=Low_Complexity!$B$2:$B$72),0,1),0),MATCH(Analysis_Low!I$28,Low_Complexity!$A$2:$K$2,0))</f>
        <v>1</v>
      </c>
      <c r="J30" cm="1">
        <f t="array" ref="J30">INDEX(Low_Complexity!$A$2:$K$72,MATCH(1,INDEX((Analysis_Low!$A30=Low_Complexity!$A$2:$A$72)*(Analysis_Low!$B30=Low_Complexity!$B$2:$B$72),0,1),0),MATCH(Analysis_Low!J$28,Low_Complexity!$A$2:$K$2,0))</f>
        <v>4</v>
      </c>
      <c r="K30" cm="1">
        <f t="array" ref="K30">INDEX(Low_Complexity!$A$2:$K$72,MATCH(1,INDEX((Analysis_Low!$A30=Low_Complexity!$A$2:$A$72)*(Analysis_Low!$B30=Low_Complexity!$B$2:$B$72),0,1),0),MATCH(Analysis_Low!K$28,Low_Complexity!$A$2:$K$2,0))</f>
        <v>45</v>
      </c>
    </row>
    <row r="31" spans="1:11" x14ac:dyDescent="0.25">
      <c r="A31">
        <f t="shared" ref="A31:A42" si="21">A30+1</f>
        <v>3</v>
      </c>
      <c r="B31" t="s">
        <v>16</v>
      </c>
      <c r="C31" cm="1">
        <f t="array" ref="C31">INDEX(Low_Complexity!$A$2:$K$72,MATCH(1,INDEX((Analysis_Low!$A31=Low_Complexity!$A$2:$A$72)*(Analysis_Low!$B31=Low_Complexity!$B$2:$B$72),0,1),0),MATCH(Analysis_Low!C$28,Low_Complexity!$A$2:$K$2,0))</f>
        <v>3</v>
      </c>
      <c r="D31" cm="1">
        <f t="array" ref="D31">INDEX(Low_Complexity!$A$2:$K$72,MATCH(1,INDEX((Analysis_Low!$A31=Low_Complexity!$A$2:$A$72)*(Analysis_Low!$B31=Low_Complexity!$B$2:$B$72),0,1),0),MATCH(Analysis_Low!D$28,Low_Complexity!$A$2:$K$2,0))</f>
        <v>3</v>
      </c>
      <c r="E31" cm="1">
        <f t="array" ref="E31">INDEX(Low_Complexity!$A$2:$K$72,MATCH(1,INDEX((Analysis_Low!$A31=Low_Complexity!$A$2:$A$72)*(Analysis_Low!$B31=Low_Complexity!$B$2:$B$72),0,1),0),MATCH(Analysis_Low!E$28,Low_Complexity!$A$2:$K$2,0))</f>
        <v>3</v>
      </c>
      <c r="F31" cm="1">
        <f t="array" ref="F31">INDEX(Low_Complexity!$A$2:$K$72,MATCH(1,INDEX((Analysis_Low!$A31=Low_Complexity!$A$2:$A$72)*(Analysis_Low!$B31=Low_Complexity!$B$2:$B$72),0,1),0),MATCH(Analysis_Low!F$28,Low_Complexity!$A$2:$K$2,0))</f>
        <v>4</v>
      </c>
      <c r="G31" cm="1">
        <f t="array" ref="G31">INDEX(Low_Complexity!$A$2:$K$72,MATCH(1,INDEX((Analysis_Low!$A31=Low_Complexity!$A$2:$A$72)*(Analysis_Low!$B31=Low_Complexity!$B$2:$B$72),0,1),0),MATCH(Analysis_Low!G$28,Low_Complexity!$A$2:$K$2,0))</f>
        <v>2</v>
      </c>
      <c r="H31" cm="1">
        <f t="array" ref="H31">INDEX(Low_Complexity!$A$2:$K$72,MATCH(1,INDEX((Analysis_Low!$A31=Low_Complexity!$A$2:$A$72)*(Analysis_Low!$B31=Low_Complexity!$B$2:$B$72),0,1),0),MATCH(Analysis_Low!H$28,Low_Complexity!$A$2:$K$2,0))</f>
        <v>3</v>
      </c>
      <c r="I31" cm="1">
        <f t="array" ref="I31">INDEX(Low_Complexity!$A$2:$K$72,MATCH(1,INDEX((Analysis_Low!$A31=Low_Complexity!$A$2:$A$72)*(Analysis_Low!$B31=Low_Complexity!$B$2:$B$72),0,1),0),MATCH(Analysis_Low!I$28,Low_Complexity!$A$2:$K$2,0))</f>
        <v>4</v>
      </c>
      <c r="J31" cm="1">
        <f t="array" ref="J31">INDEX(Low_Complexity!$A$2:$K$72,MATCH(1,INDEX((Analysis_Low!$A31=Low_Complexity!$A$2:$A$72)*(Analysis_Low!$B31=Low_Complexity!$B$2:$B$72),0,1),0),MATCH(Analysis_Low!J$28,Low_Complexity!$A$2:$K$2,0))</f>
        <v>2</v>
      </c>
      <c r="K31" cm="1">
        <f t="array" ref="K31">INDEX(Low_Complexity!$A$2:$K$72,MATCH(1,INDEX((Analysis_Low!$A31=Low_Complexity!$A$2:$A$72)*(Analysis_Low!$B31=Low_Complexity!$B$2:$B$72),0,1),0),MATCH(Analysis_Low!K$28,Low_Complexity!$A$2:$K$2,0))</f>
        <v>15</v>
      </c>
    </row>
    <row r="32" spans="1:11" x14ac:dyDescent="0.25">
      <c r="A32">
        <f t="shared" si="21"/>
        <v>4</v>
      </c>
      <c r="B32" t="s">
        <v>16</v>
      </c>
      <c r="C32" cm="1">
        <f t="array" ref="C32">INDEX(Low_Complexity!$A$2:$K$72,MATCH(1,INDEX((Analysis_Low!$A32=Low_Complexity!$A$2:$A$72)*(Analysis_Low!$B32=Low_Complexity!$B$2:$B$72),0,1),0),MATCH(Analysis_Low!C$28,Low_Complexity!$A$2:$K$2,0))</f>
        <v>2</v>
      </c>
      <c r="D32" cm="1">
        <f t="array" ref="D32">INDEX(Low_Complexity!$A$2:$K$72,MATCH(1,INDEX((Analysis_Low!$A32=Low_Complexity!$A$2:$A$72)*(Analysis_Low!$B32=Low_Complexity!$B$2:$B$72),0,1),0),MATCH(Analysis_Low!D$28,Low_Complexity!$A$2:$K$2,0))</f>
        <v>3</v>
      </c>
      <c r="E32" cm="1">
        <f t="array" ref="E32">INDEX(Low_Complexity!$A$2:$K$72,MATCH(1,INDEX((Analysis_Low!$A32=Low_Complexity!$A$2:$A$72)*(Analysis_Low!$B32=Low_Complexity!$B$2:$B$72),0,1),0),MATCH(Analysis_Low!E$28,Low_Complexity!$A$2:$K$2,0))</f>
        <v>2</v>
      </c>
      <c r="F32" cm="1">
        <f t="array" ref="F32">INDEX(Low_Complexity!$A$2:$K$72,MATCH(1,INDEX((Analysis_Low!$A32=Low_Complexity!$A$2:$A$72)*(Analysis_Low!$B32=Low_Complexity!$B$2:$B$72),0,1),0),MATCH(Analysis_Low!F$28,Low_Complexity!$A$2:$K$2,0))</f>
        <v>5</v>
      </c>
      <c r="G32" cm="1">
        <f t="array" ref="G32">INDEX(Low_Complexity!$A$2:$K$72,MATCH(1,INDEX((Analysis_Low!$A32=Low_Complexity!$A$2:$A$72)*(Analysis_Low!$B32=Low_Complexity!$B$2:$B$72),0,1),0),MATCH(Analysis_Low!G$28,Low_Complexity!$A$2:$K$2,0))</f>
        <v>2</v>
      </c>
      <c r="H32" cm="1">
        <f t="array" ref="H32">INDEX(Low_Complexity!$A$2:$K$72,MATCH(1,INDEX((Analysis_Low!$A32=Low_Complexity!$A$2:$A$72)*(Analysis_Low!$B32=Low_Complexity!$B$2:$B$72),0,1),0),MATCH(Analysis_Low!H$28,Low_Complexity!$A$2:$K$2,0))</f>
        <v>4</v>
      </c>
      <c r="I32" cm="1">
        <f t="array" ref="I32">INDEX(Low_Complexity!$A$2:$K$72,MATCH(1,INDEX((Analysis_Low!$A32=Low_Complexity!$A$2:$A$72)*(Analysis_Low!$B32=Low_Complexity!$B$2:$B$72),0,1),0),MATCH(Analysis_Low!I$28,Low_Complexity!$A$2:$K$2,0))</f>
        <v>2</v>
      </c>
      <c r="J32" cm="1">
        <f t="array" ref="J32">INDEX(Low_Complexity!$A$2:$K$72,MATCH(1,INDEX((Analysis_Low!$A32=Low_Complexity!$A$2:$A$72)*(Analysis_Low!$B32=Low_Complexity!$B$2:$B$72),0,1),0),MATCH(Analysis_Low!J$28,Low_Complexity!$A$2:$K$2,0))</f>
        <v>2</v>
      </c>
      <c r="K32" cm="1">
        <f t="array" ref="K32">INDEX(Low_Complexity!$A$2:$K$72,MATCH(1,INDEX((Analysis_Low!$A32=Low_Complexity!$A$2:$A$72)*(Analysis_Low!$B32=Low_Complexity!$B$2:$B$72),0,1),0),MATCH(Analysis_Low!K$28,Low_Complexity!$A$2:$K$2,0))</f>
        <v>25</v>
      </c>
    </row>
    <row r="33" spans="1:11" x14ac:dyDescent="0.25">
      <c r="A33">
        <f t="shared" si="21"/>
        <v>5</v>
      </c>
      <c r="B33" t="s">
        <v>16</v>
      </c>
      <c r="C33" cm="1">
        <f t="array" ref="C33">INDEX(Low_Complexity!$A$2:$K$72,MATCH(1,INDEX((Analysis_Low!$A33=Low_Complexity!$A$2:$A$72)*(Analysis_Low!$B33=Low_Complexity!$B$2:$B$72),0,1),0),MATCH(Analysis_Low!C$28,Low_Complexity!$A$2:$K$2,0))</f>
        <v>4</v>
      </c>
      <c r="D33" cm="1">
        <f t="array" ref="D33">INDEX(Low_Complexity!$A$2:$K$72,MATCH(1,INDEX((Analysis_Low!$A33=Low_Complexity!$A$2:$A$72)*(Analysis_Low!$B33=Low_Complexity!$B$2:$B$72),0,1),0),MATCH(Analysis_Low!D$28,Low_Complexity!$A$2:$K$2,0))</f>
        <v>4</v>
      </c>
      <c r="E33" cm="1">
        <f t="array" ref="E33">INDEX(Low_Complexity!$A$2:$K$72,MATCH(1,INDEX((Analysis_Low!$A33=Low_Complexity!$A$2:$A$72)*(Analysis_Low!$B33=Low_Complexity!$B$2:$B$72),0,1),0),MATCH(Analysis_Low!E$28,Low_Complexity!$A$2:$K$2,0))</f>
        <v>3</v>
      </c>
      <c r="F33" cm="1">
        <f t="array" ref="F33">INDEX(Low_Complexity!$A$2:$K$72,MATCH(1,INDEX((Analysis_Low!$A33=Low_Complexity!$A$2:$A$72)*(Analysis_Low!$B33=Low_Complexity!$B$2:$B$72),0,1),0),MATCH(Analysis_Low!F$28,Low_Complexity!$A$2:$K$2,0))</f>
        <v>3</v>
      </c>
      <c r="G33" cm="1">
        <f t="array" ref="G33">INDEX(Low_Complexity!$A$2:$K$72,MATCH(1,INDEX((Analysis_Low!$A33=Low_Complexity!$A$2:$A$72)*(Analysis_Low!$B33=Low_Complexity!$B$2:$B$72),0,1),0),MATCH(Analysis_Low!G$28,Low_Complexity!$A$2:$K$2,0))</f>
        <v>2</v>
      </c>
      <c r="H33" cm="1">
        <f t="array" ref="H33">INDEX(Low_Complexity!$A$2:$K$72,MATCH(1,INDEX((Analysis_Low!$A33=Low_Complexity!$A$2:$A$72)*(Analysis_Low!$B33=Low_Complexity!$B$2:$B$72),0,1),0),MATCH(Analysis_Low!H$28,Low_Complexity!$A$2:$K$2,0))</f>
        <v>3</v>
      </c>
      <c r="I33" cm="1">
        <f t="array" ref="I33">INDEX(Low_Complexity!$A$2:$K$72,MATCH(1,INDEX((Analysis_Low!$A33=Low_Complexity!$A$2:$A$72)*(Analysis_Low!$B33=Low_Complexity!$B$2:$B$72),0,1),0),MATCH(Analysis_Low!I$28,Low_Complexity!$A$2:$K$2,0))</f>
        <v>3</v>
      </c>
      <c r="J33" cm="1">
        <f t="array" ref="J33">INDEX(Low_Complexity!$A$2:$K$72,MATCH(1,INDEX((Analysis_Low!$A33=Low_Complexity!$A$2:$A$72)*(Analysis_Low!$B33=Low_Complexity!$B$2:$B$72),0,1),0),MATCH(Analysis_Low!J$28,Low_Complexity!$A$2:$K$2,0))</f>
        <v>2</v>
      </c>
      <c r="K33" cm="1">
        <f t="array" ref="K33">INDEX(Low_Complexity!$A$2:$K$72,MATCH(1,INDEX((Analysis_Low!$A33=Low_Complexity!$A$2:$A$72)*(Analysis_Low!$B33=Low_Complexity!$B$2:$B$72),0,1),0),MATCH(Analysis_Low!K$28,Low_Complexity!$A$2:$K$2,0))</f>
        <v>25</v>
      </c>
    </row>
    <row r="34" spans="1:11" x14ac:dyDescent="0.25">
      <c r="A34">
        <f t="shared" si="21"/>
        <v>6</v>
      </c>
      <c r="B34" t="s">
        <v>16</v>
      </c>
      <c r="C34" cm="1">
        <f t="array" ref="C34">INDEX(Low_Complexity!$A$2:$K$72,MATCH(1,INDEX((Analysis_Low!$A34=Low_Complexity!$A$2:$A$72)*(Analysis_Low!$B34=Low_Complexity!$B$2:$B$72),0,1),0),MATCH(Analysis_Low!C$28,Low_Complexity!$A$2:$K$2,0))</f>
        <v>2</v>
      </c>
      <c r="D34" cm="1">
        <f t="array" ref="D34">INDEX(Low_Complexity!$A$2:$K$72,MATCH(1,INDEX((Analysis_Low!$A34=Low_Complexity!$A$2:$A$72)*(Analysis_Low!$B34=Low_Complexity!$B$2:$B$72),0,1),0),MATCH(Analysis_Low!D$28,Low_Complexity!$A$2:$K$2,0))</f>
        <v>5</v>
      </c>
      <c r="E34" cm="1">
        <f t="array" ref="E34">INDEX(Low_Complexity!$A$2:$K$72,MATCH(1,INDEX((Analysis_Low!$A34=Low_Complexity!$A$2:$A$72)*(Analysis_Low!$B34=Low_Complexity!$B$2:$B$72),0,1),0),MATCH(Analysis_Low!E$28,Low_Complexity!$A$2:$K$2,0))</f>
        <v>2</v>
      </c>
      <c r="F34" cm="1">
        <f t="array" ref="F34">INDEX(Low_Complexity!$A$2:$K$72,MATCH(1,INDEX((Analysis_Low!$A34=Low_Complexity!$A$2:$A$72)*(Analysis_Low!$B34=Low_Complexity!$B$2:$B$72),0,1),0),MATCH(Analysis_Low!F$28,Low_Complexity!$A$2:$K$2,0))</f>
        <v>3</v>
      </c>
      <c r="G34" cm="1">
        <f t="array" ref="G34">INDEX(Low_Complexity!$A$2:$K$72,MATCH(1,INDEX((Analysis_Low!$A34=Low_Complexity!$A$2:$A$72)*(Analysis_Low!$B34=Low_Complexity!$B$2:$B$72),0,1),0),MATCH(Analysis_Low!G$28,Low_Complexity!$A$2:$K$2,0))</f>
        <v>3</v>
      </c>
      <c r="H34" cm="1">
        <f t="array" ref="H34">INDEX(Low_Complexity!$A$2:$K$72,MATCH(1,INDEX((Analysis_Low!$A34=Low_Complexity!$A$2:$A$72)*(Analysis_Low!$B34=Low_Complexity!$B$2:$B$72),0,1),0),MATCH(Analysis_Low!H$28,Low_Complexity!$A$2:$K$2,0))</f>
        <v>2</v>
      </c>
      <c r="I34" cm="1">
        <f t="array" ref="I34">INDEX(Low_Complexity!$A$2:$K$72,MATCH(1,INDEX((Analysis_Low!$A34=Low_Complexity!$A$2:$A$72)*(Analysis_Low!$B34=Low_Complexity!$B$2:$B$72),0,1),0),MATCH(Analysis_Low!I$28,Low_Complexity!$A$2:$K$2,0))</f>
        <v>1</v>
      </c>
      <c r="J34" cm="1">
        <f t="array" ref="J34">INDEX(Low_Complexity!$A$2:$K$72,MATCH(1,INDEX((Analysis_Low!$A34=Low_Complexity!$A$2:$A$72)*(Analysis_Low!$B34=Low_Complexity!$B$2:$B$72),0,1),0),MATCH(Analysis_Low!J$28,Low_Complexity!$A$2:$K$2,0))</f>
        <v>2</v>
      </c>
      <c r="K34" cm="1">
        <f t="array" ref="K34">INDEX(Low_Complexity!$A$2:$K$72,MATCH(1,INDEX((Analysis_Low!$A34=Low_Complexity!$A$2:$A$72)*(Analysis_Low!$B34=Low_Complexity!$B$2:$B$72),0,1),0),MATCH(Analysis_Low!K$28,Low_Complexity!$A$2:$K$2,0))</f>
        <v>80</v>
      </c>
    </row>
    <row r="35" spans="1:11" x14ac:dyDescent="0.25">
      <c r="A35">
        <f t="shared" si="21"/>
        <v>7</v>
      </c>
      <c r="B35" t="s">
        <v>16</v>
      </c>
      <c r="C35" cm="1">
        <f t="array" ref="C35">INDEX(Low_Complexity!$A$2:$K$72,MATCH(1,INDEX((Analysis_Low!$A35=Low_Complexity!$A$2:$A$72)*(Analysis_Low!$B35=Low_Complexity!$B$2:$B$72),0,1),0),MATCH(Analysis_Low!C$28,Low_Complexity!$A$2:$K$2,0))</f>
        <v>3</v>
      </c>
      <c r="D35" cm="1">
        <f t="array" ref="D35">INDEX(Low_Complexity!$A$2:$K$72,MATCH(1,INDEX((Analysis_Low!$A35=Low_Complexity!$A$2:$A$72)*(Analysis_Low!$B35=Low_Complexity!$B$2:$B$72),0,1),0),MATCH(Analysis_Low!D$28,Low_Complexity!$A$2:$K$2,0))</f>
        <v>5</v>
      </c>
      <c r="E35" cm="1">
        <f t="array" ref="E35">INDEX(Low_Complexity!$A$2:$K$72,MATCH(1,INDEX((Analysis_Low!$A35=Low_Complexity!$A$2:$A$72)*(Analysis_Low!$B35=Low_Complexity!$B$2:$B$72),0,1),0),MATCH(Analysis_Low!E$28,Low_Complexity!$A$2:$K$2,0))</f>
        <v>1</v>
      </c>
      <c r="F35" cm="1">
        <f t="array" ref="F35">INDEX(Low_Complexity!$A$2:$K$72,MATCH(1,INDEX((Analysis_Low!$A35=Low_Complexity!$A$2:$A$72)*(Analysis_Low!$B35=Low_Complexity!$B$2:$B$72),0,1),0),MATCH(Analysis_Low!F$28,Low_Complexity!$A$2:$K$2,0))</f>
        <v>5</v>
      </c>
      <c r="G35" cm="1">
        <f t="array" ref="G35">INDEX(Low_Complexity!$A$2:$K$72,MATCH(1,INDEX((Analysis_Low!$A35=Low_Complexity!$A$2:$A$72)*(Analysis_Low!$B35=Low_Complexity!$B$2:$B$72),0,1),0),MATCH(Analysis_Low!G$28,Low_Complexity!$A$2:$K$2,0))</f>
        <v>1</v>
      </c>
      <c r="H35" cm="1">
        <f t="array" ref="H35">INDEX(Low_Complexity!$A$2:$K$72,MATCH(1,INDEX((Analysis_Low!$A35=Low_Complexity!$A$2:$A$72)*(Analysis_Low!$B35=Low_Complexity!$B$2:$B$72),0,1),0),MATCH(Analysis_Low!H$28,Low_Complexity!$A$2:$K$2,0))</f>
        <v>1</v>
      </c>
      <c r="I35" cm="1">
        <f t="array" ref="I35">INDEX(Low_Complexity!$A$2:$K$72,MATCH(1,INDEX((Analysis_Low!$A35=Low_Complexity!$A$2:$A$72)*(Analysis_Low!$B35=Low_Complexity!$B$2:$B$72),0,1),0),MATCH(Analysis_Low!I$28,Low_Complexity!$A$2:$K$2,0))</f>
        <v>3</v>
      </c>
      <c r="J35" cm="1">
        <f t="array" ref="J35">INDEX(Low_Complexity!$A$2:$K$72,MATCH(1,INDEX((Analysis_Low!$A35=Low_Complexity!$A$2:$A$72)*(Analysis_Low!$B35=Low_Complexity!$B$2:$B$72),0,1),0),MATCH(Analysis_Low!J$28,Low_Complexity!$A$2:$K$2,0))</f>
        <v>2</v>
      </c>
      <c r="K35" cm="1">
        <f t="array" ref="K35">INDEX(Low_Complexity!$A$2:$K$72,MATCH(1,INDEX((Analysis_Low!$A35=Low_Complexity!$A$2:$A$72)*(Analysis_Low!$B35=Low_Complexity!$B$2:$B$72),0,1),0),MATCH(Analysis_Low!K$28,Low_Complexity!$A$2:$K$2,0))</f>
        <v>80</v>
      </c>
    </row>
    <row r="36" spans="1:11" x14ac:dyDescent="0.25">
      <c r="A36">
        <f t="shared" si="21"/>
        <v>8</v>
      </c>
      <c r="B36" t="s">
        <v>16</v>
      </c>
      <c r="C36" cm="1">
        <f t="array" ref="C36">INDEX(Low_Complexity!$A$2:$K$72,MATCH(1,INDEX((Analysis_Low!$A36=Low_Complexity!$A$2:$A$72)*(Analysis_Low!$B36=Low_Complexity!$B$2:$B$72),0,1),0),MATCH(Analysis_Low!C$28,Low_Complexity!$A$2:$K$2,0))</f>
        <v>4</v>
      </c>
      <c r="D36" cm="1">
        <f t="array" ref="D36">INDEX(Low_Complexity!$A$2:$K$72,MATCH(1,INDEX((Analysis_Low!$A36=Low_Complexity!$A$2:$A$72)*(Analysis_Low!$B36=Low_Complexity!$B$2:$B$72),0,1),0),MATCH(Analysis_Low!D$28,Low_Complexity!$A$2:$K$2,0))</f>
        <v>4</v>
      </c>
      <c r="E36" cm="1">
        <f t="array" ref="E36">INDEX(Low_Complexity!$A$2:$K$72,MATCH(1,INDEX((Analysis_Low!$A36=Low_Complexity!$A$2:$A$72)*(Analysis_Low!$B36=Low_Complexity!$B$2:$B$72),0,1),0),MATCH(Analysis_Low!E$28,Low_Complexity!$A$2:$K$2,0))</f>
        <v>5</v>
      </c>
      <c r="F36" cm="1">
        <f t="array" ref="F36">INDEX(Low_Complexity!$A$2:$K$72,MATCH(1,INDEX((Analysis_Low!$A36=Low_Complexity!$A$2:$A$72)*(Analysis_Low!$B36=Low_Complexity!$B$2:$B$72),0,1),0),MATCH(Analysis_Low!F$28,Low_Complexity!$A$2:$K$2,0))</f>
        <v>5</v>
      </c>
      <c r="G36" cm="1">
        <f t="array" ref="G36">INDEX(Low_Complexity!$A$2:$K$72,MATCH(1,INDEX((Analysis_Low!$A36=Low_Complexity!$A$2:$A$72)*(Analysis_Low!$B36=Low_Complexity!$B$2:$B$72),0,1),0),MATCH(Analysis_Low!G$28,Low_Complexity!$A$2:$K$2,0))</f>
        <v>5</v>
      </c>
      <c r="H36" cm="1">
        <f t="array" ref="H36">INDEX(Low_Complexity!$A$2:$K$72,MATCH(1,INDEX((Analysis_Low!$A36=Low_Complexity!$A$2:$A$72)*(Analysis_Low!$B36=Low_Complexity!$B$2:$B$72),0,1),0),MATCH(Analysis_Low!H$28,Low_Complexity!$A$2:$K$2,0))</f>
        <v>2</v>
      </c>
      <c r="I36" cm="1">
        <f t="array" ref="I36">INDEX(Low_Complexity!$A$2:$K$72,MATCH(1,INDEX((Analysis_Low!$A36=Low_Complexity!$A$2:$A$72)*(Analysis_Low!$B36=Low_Complexity!$B$2:$B$72),0,1),0),MATCH(Analysis_Low!I$28,Low_Complexity!$A$2:$K$2,0))</f>
        <v>4</v>
      </c>
      <c r="J36" cm="1">
        <f t="array" ref="J36">INDEX(Low_Complexity!$A$2:$K$72,MATCH(1,INDEX((Analysis_Low!$A36=Low_Complexity!$A$2:$A$72)*(Analysis_Low!$B36=Low_Complexity!$B$2:$B$72),0,1),0),MATCH(Analysis_Low!J$28,Low_Complexity!$A$2:$K$2,0))</f>
        <v>5</v>
      </c>
      <c r="K36" cm="1">
        <f t="array" ref="K36">INDEX(Low_Complexity!$A$2:$K$72,MATCH(1,INDEX((Analysis_Low!$A36=Low_Complexity!$A$2:$A$72)*(Analysis_Low!$B36=Low_Complexity!$B$2:$B$72),0,1),0),MATCH(Analysis_Low!K$28,Low_Complexity!$A$2:$K$2,0))</f>
        <v>30</v>
      </c>
    </row>
    <row r="37" spans="1:11" x14ac:dyDescent="0.25">
      <c r="A37">
        <f t="shared" si="21"/>
        <v>9</v>
      </c>
      <c r="B37" t="s">
        <v>16</v>
      </c>
      <c r="C37" cm="1">
        <f t="array" ref="C37">INDEX(Low_Complexity!$A$2:$K$72,MATCH(1,INDEX((Analysis_Low!$A37=Low_Complexity!$A$2:$A$72)*(Analysis_Low!$B37=Low_Complexity!$B$2:$B$72),0,1),0),MATCH(Analysis_Low!C$28,Low_Complexity!$A$2:$K$2,0))</f>
        <v>1</v>
      </c>
      <c r="D37" cm="1">
        <f t="array" ref="D37">INDEX(Low_Complexity!$A$2:$K$72,MATCH(1,INDEX((Analysis_Low!$A37=Low_Complexity!$A$2:$A$72)*(Analysis_Low!$B37=Low_Complexity!$B$2:$B$72),0,1),0),MATCH(Analysis_Low!D$28,Low_Complexity!$A$2:$K$2,0))</f>
        <v>4</v>
      </c>
      <c r="E37" cm="1">
        <f t="array" ref="E37">INDEX(Low_Complexity!$A$2:$K$72,MATCH(1,INDEX((Analysis_Low!$A37=Low_Complexity!$A$2:$A$72)*(Analysis_Low!$B37=Low_Complexity!$B$2:$B$72),0,1),0),MATCH(Analysis_Low!E$28,Low_Complexity!$A$2:$K$2,0))</f>
        <v>3</v>
      </c>
      <c r="F37" cm="1">
        <f t="array" ref="F37">INDEX(Low_Complexity!$A$2:$K$72,MATCH(1,INDEX((Analysis_Low!$A37=Low_Complexity!$A$2:$A$72)*(Analysis_Low!$B37=Low_Complexity!$B$2:$B$72),0,1),0),MATCH(Analysis_Low!F$28,Low_Complexity!$A$2:$K$2,0))</f>
        <v>5</v>
      </c>
      <c r="G37" cm="1">
        <f t="array" ref="G37">INDEX(Low_Complexity!$A$2:$K$72,MATCH(1,INDEX((Analysis_Low!$A37=Low_Complexity!$A$2:$A$72)*(Analysis_Low!$B37=Low_Complexity!$B$2:$B$72),0,1),0),MATCH(Analysis_Low!G$28,Low_Complexity!$A$2:$K$2,0))</f>
        <v>3</v>
      </c>
      <c r="H37" cm="1">
        <f t="array" ref="H37">INDEX(Low_Complexity!$A$2:$K$72,MATCH(1,INDEX((Analysis_Low!$A37=Low_Complexity!$A$2:$A$72)*(Analysis_Low!$B37=Low_Complexity!$B$2:$B$72),0,1),0),MATCH(Analysis_Low!H$28,Low_Complexity!$A$2:$K$2,0))</f>
        <v>5</v>
      </c>
      <c r="I37" cm="1">
        <f t="array" ref="I37">INDEX(Low_Complexity!$A$2:$K$72,MATCH(1,INDEX((Analysis_Low!$A37=Low_Complexity!$A$2:$A$72)*(Analysis_Low!$B37=Low_Complexity!$B$2:$B$72),0,1),0),MATCH(Analysis_Low!I$28,Low_Complexity!$A$2:$K$2,0))</f>
        <v>3</v>
      </c>
      <c r="J37" cm="1">
        <f t="array" ref="J37">INDEX(Low_Complexity!$A$2:$K$72,MATCH(1,INDEX((Analysis_Low!$A37=Low_Complexity!$A$2:$A$72)*(Analysis_Low!$B37=Low_Complexity!$B$2:$B$72),0,1),0),MATCH(Analysis_Low!J$28,Low_Complexity!$A$2:$K$2,0))</f>
        <v>3</v>
      </c>
      <c r="K37" cm="1">
        <f t="array" ref="K37">INDEX(Low_Complexity!$A$2:$K$72,MATCH(1,INDEX((Analysis_Low!$A37=Low_Complexity!$A$2:$A$72)*(Analysis_Low!$B37=Low_Complexity!$B$2:$B$72),0,1),0),MATCH(Analysis_Low!K$28,Low_Complexity!$A$2:$K$2,0))</f>
        <v>20</v>
      </c>
    </row>
    <row r="38" spans="1:11" x14ac:dyDescent="0.25">
      <c r="A38">
        <f t="shared" si="21"/>
        <v>10</v>
      </c>
      <c r="B38" t="s">
        <v>16</v>
      </c>
      <c r="C38" cm="1">
        <f t="array" ref="C38">INDEX(Low_Complexity!$A$2:$K$72,MATCH(1,INDEX((Analysis_Low!$A38=Low_Complexity!$A$2:$A$72)*(Analysis_Low!$B38=Low_Complexity!$B$2:$B$72),0,1),0),MATCH(Analysis_Low!C$28,Low_Complexity!$A$2:$K$2,0))</f>
        <v>3</v>
      </c>
      <c r="D38" cm="1">
        <f t="array" ref="D38">INDEX(Low_Complexity!$A$2:$K$72,MATCH(1,INDEX((Analysis_Low!$A38=Low_Complexity!$A$2:$A$72)*(Analysis_Low!$B38=Low_Complexity!$B$2:$B$72),0,1),0),MATCH(Analysis_Low!D$28,Low_Complexity!$A$2:$K$2,0))</f>
        <v>5</v>
      </c>
      <c r="E38" cm="1">
        <f t="array" ref="E38">INDEX(Low_Complexity!$A$2:$K$72,MATCH(1,INDEX((Analysis_Low!$A38=Low_Complexity!$A$2:$A$72)*(Analysis_Low!$B38=Low_Complexity!$B$2:$B$72),0,1),0),MATCH(Analysis_Low!E$28,Low_Complexity!$A$2:$K$2,0))</f>
        <v>3</v>
      </c>
      <c r="F38" cm="1">
        <f t="array" ref="F38">INDEX(Low_Complexity!$A$2:$K$72,MATCH(1,INDEX((Analysis_Low!$A38=Low_Complexity!$A$2:$A$72)*(Analysis_Low!$B38=Low_Complexity!$B$2:$B$72),0,1),0),MATCH(Analysis_Low!F$28,Low_Complexity!$A$2:$K$2,0))</f>
        <v>4</v>
      </c>
      <c r="G38" cm="1">
        <f t="array" ref="G38">INDEX(Low_Complexity!$A$2:$K$72,MATCH(1,INDEX((Analysis_Low!$A38=Low_Complexity!$A$2:$A$72)*(Analysis_Low!$B38=Low_Complexity!$B$2:$B$72),0,1),0),MATCH(Analysis_Low!G$28,Low_Complexity!$A$2:$K$2,0))</f>
        <v>3</v>
      </c>
      <c r="H38" cm="1">
        <f t="array" ref="H38">INDEX(Low_Complexity!$A$2:$K$72,MATCH(1,INDEX((Analysis_Low!$A38=Low_Complexity!$A$2:$A$72)*(Analysis_Low!$B38=Low_Complexity!$B$2:$B$72),0,1),0),MATCH(Analysis_Low!H$28,Low_Complexity!$A$2:$K$2,0))</f>
        <v>5</v>
      </c>
      <c r="I38" cm="1">
        <f t="array" ref="I38">INDEX(Low_Complexity!$A$2:$K$72,MATCH(1,INDEX((Analysis_Low!$A38=Low_Complexity!$A$2:$A$72)*(Analysis_Low!$B38=Low_Complexity!$B$2:$B$72),0,1),0),MATCH(Analysis_Low!I$28,Low_Complexity!$A$2:$K$2,0))</f>
        <v>2</v>
      </c>
      <c r="J38" cm="1">
        <f t="array" ref="J38">INDEX(Low_Complexity!$A$2:$K$72,MATCH(1,INDEX((Analysis_Low!$A38=Low_Complexity!$A$2:$A$72)*(Analysis_Low!$B38=Low_Complexity!$B$2:$B$72),0,1),0),MATCH(Analysis_Low!J$28,Low_Complexity!$A$2:$K$2,0))</f>
        <v>3</v>
      </c>
      <c r="K38" cm="1">
        <f t="array" ref="K38">INDEX(Low_Complexity!$A$2:$K$72,MATCH(1,INDEX((Analysis_Low!$A38=Low_Complexity!$A$2:$A$72)*(Analysis_Low!$B38=Low_Complexity!$B$2:$B$72),0,1),0),MATCH(Analysis_Low!K$28,Low_Complexity!$A$2:$K$2,0))</f>
        <v>30</v>
      </c>
    </row>
    <row r="39" spans="1:11" x14ac:dyDescent="0.25">
      <c r="A39">
        <f t="shared" si="21"/>
        <v>11</v>
      </c>
      <c r="B39" t="s">
        <v>16</v>
      </c>
      <c r="C39" cm="1">
        <f t="array" ref="C39">INDEX(Low_Complexity!$A$2:$K$72,MATCH(1,INDEX((Analysis_Low!$A39=Low_Complexity!$A$2:$A$72)*(Analysis_Low!$B39=Low_Complexity!$B$2:$B$72),0,1),0),MATCH(Analysis_Low!C$28,Low_Complexity!$A$2:$K$2,0))</f>
        <v>3</v>
      </c>
      <c r="D39" cm="1">
        <f t="array" ref="D39">INDEX(Low_Complexity!$A$2:$K$72,MATCH(1,INDEX((Analysis_Low!$A39=Low_Complexity!$A$2:$A$72)*(Analysis_Low!$B39=Low_Complexity!$B$2:$B$72),0,1),0),MATCH(Analysis_Low!D$28,Low_Complexity!$A$2:$K$2,0))</f>
        <v>2</v>
      </c>
      <c r="E39" cm="1">
        <f t="array" ref="E39">INDEX(Low_Complexity!$A$2:$K$72,MATCH(1,INDEX((Analysis_Low!$A39=Low_Complexity!$A$2:$A$72)*(Analysis_Low!$B39=Low_Complexity!$B$2:$B$72),0,1),0),MATCH(Analysis_Low!E$28,Low_Complexity!$A$2:$K$2,0))</f>
        <v>4</v>
      </c>
      <c r="F39" cm="1">
        <f t="array" ref="F39">INDEX(Low_Complexity!$A$2:$K$72,MATCH(1,INDEX((Analysis_Low!$A39=Low_Complexity!$A$2:$A$72)*(Analysis_Low!$B39=Low_Complexity!$B$2:$B$72),0,1),0),MATCH(Analysis_Low!F$28,Low_Complexity!$A$2:$K$2,0))</f>
        <v>2</v>
      </c>
      <c r="G39" cm="1">
        <f t="array" ref="G39">INDEX(Low_Complexity!$A$2:$K$72,MATCH(1,INDEX((Analysis_Low!$A39=Low_Complexity!$A$2:$A$72)*(Analysis_Low!$B39=Low_Complexity!$B$2:$B$72),0,1),0),MATCH(Analysis_Low!G$28,Low_Complexity!$A$2:$K$2,0))</f>
        <v>2</v>
      </c>
      <c r="H39" cm="1">
        <f t="array" ref="H39">INDEX(Low_Complexity!$A$2:$K$72,MATCH(1,INDEX((Analysis_Low!$A39=Low_Complexity!$A$2:$A$72)*(Analysis_Low!$B39=Low_Complexity!$B$2:$B$72),0,1),0),MATCH(Analysis_Low!H$28,Low_Complexity!$A$2:$K$2,0))</f>
        <v>4</v>
      </c>
      <c r="I39" cm="1">
        <f t="array" ref="I39">INDEX(Low_Complexity!$A$2:$K$72,MATCH(1,INDEX((Analysis_Low!$A39=Low_Complexity!$A$2:$A$72)*(Analysis_Low!$B39=Low_Complexity!$B$2:$B$72),0,1),0),MATCH(Analysis_Low!I$28,Low_Complexity!$A$2:$K$2,0))</f>
        <v>1</v>
      </c>
      <c r="J39" cm="1">
        <f t="array" ref="J39">INDEX(Low_Complexity!$A$2:$K$72,MATCH(1,INDEX((Analysis_Low!$A39=Low_Complexity!$A$2:$A$72)*(Analysis_Low!$B39=Low_Complexity!$B$2:$B$72),0,1),0),MATCH(Analysis_Low!J$28,Low_Complexity!$A$2:$K$2,0))</f>
        <v>2</v>
      </c>
      <c r="K39" cm="1">
        <f t="array" ref="K39">INDEX(Low_Complexity!$A$2:$K$72,MATCH(1,INDEX((Analysis_Low!$A39=Low_Complexity!$A$2:$A$72)*(Analysis_Low!$B39=Low_Complexity!$B$2:$B$72),0,1),0),MATCH(Analysis_Low!K$28,Low_Complexity!$A$2:$K$2,0))</f>
        <v>25</v>
      </c>
    </row>
    <row r="40" spans="1:11" x14ac:dyDescent="0.25">
      <c r="A40">
        <f t="shared" si="21"/>
        <v>12</v>
      </c>
      <c r="B40" t="s">
        <v>16</v>
      </c>
      <c r="C40" cm="1">
        <f t="array" ref="C40">INDEX(Low_Complexity!$A$2:$K$72,MATCH(1,INDEX((Analysis_Low!$A40=Low_Complexity!$A$2:$A$72)*(Analysis_Low!$B40=Low_Complexity!$B$2:$B$72),0,1),0),MATCH(Analysis_Low!C$28,Low_Complexity!$A$2:$K$2,0))</f>
        <v>4</v>
      </c>
      <c r="D40" cm="1">
        <f t="array" ref="D40">INDEX(Low_Complexity!$A$2:$K$72,MATCH(1,INDEX((Analysis_Low!$A40=Low_Complexity!$A$2:$A$72)*(Analysis_Low!$B40=Low_Complexity!$B$2:$B$72),0,1),0),MATCH(Analysis_Low!D$28,Low_Complexity!$A$2:$K$2,0))</f>
        <v>5</v>
      </c>
      <c r="E40" cm="1">
        <f t="array" ref="E40">INDEX(Low_Complexity!$A$2:$K$72,MATCH(1,INDEX((Analysis_Low!$A40=Low_Complexity!$A$2:$A$72)*(Analysis_Low!$B40=Low_Complexity!$B$2:$B$72),0,1),0),MATCH(Analysis_Low!E$28,Low_Complexity!$A$2:$K$2,0))</f>
        <v>2</v>
      </c>
      <c r="F40" cm="1">
        <f t="array" ref="F40">INDEX(Low_Complexity!$A$2:$K$72,MATCH(1,INDEX((Analysis_Low!$A40=Low_Complexity!$A$2:$A$72)*(Analysis_Low!$B40=Low_Complexity!$B$2:$B$72),0,1),0),MATCH(Analysis_Low!F$28,Low_Complexity!$A$2:$K$2,0))</f>
        <v>2</v>
      </c>
      <c r="G40" cm="1">
        <f t="array" ref="G40">INDEX(Low_Complexity!$A$2:$K$72,MATCH(1,INDEX((Analysis_Low!$A40=Low_Complexity!$A$2:$A$72)*(Analysis_Low!$B40=Low_Complexity!$B$2:$B$72),0,1),0),MATCH(Analysis_Low!G$28,Low_Complexity!$A$2:$K$2,0))</f>
        <v>3</v>
      </c>
      <c r="H40" cm="1">
        <f t="array" ref="H40">INDEX(Low_Complexity!$A$2:$K$72,MATCH(1,INDEX((Analysis_Low!$A40=Low_Complexity!$A$2:$A$72)*(Analysis_Low!$B40=Low_Complexity!$B$2:$B$72),0,1),0),MATCH(Analysis_Low!H$28,Low_Complexity!$A$2:$K$2,0))</f>
        <v>2</v>
      </c>
      <c r="I40" cm="1">
        <f t="array" ref="I40">INDEX(Low_Complexity!$A$2:$K$72,MATCH(1,INDEX((Analysis_Low!$A40=Low_Complexity!$A$2:$A$72)*(Analysis_Low!$B40=Low_Complexity!$B$2:$B$72),0,1),0),MATCH(Analysis_Low!I$28,Low_Complexity!$A$2:$K$2,0))</f>
        <v>3</v>
      </c>
      <c r="J40" cm="1">
        <f t="array" ref="J40">INDEX(Low_Complexity!$A$2:$K$72,MATCH(1,INDEX((Analysis_Low!$A40=Low_Complexity!$A$2:$A$72)*(Analysis_Low!$B40=Low_Complexity!$B$2:$B$72),0,1),0),MATCH(Analysis_Low!J$28,Low_Complexity!$A$2:$K$2,0))</f>
        <v>3</v>
      </c>
      <c r="K40" cm="1">
        <f t="array" ref="K40">INDEX(Low_Complexity!$A$2:$K$72,MATCH(1,INDEX((Analysis_Low!$A40=Low_Complexity!$A$2:$A$72)*(Analysis_Low!$B40=Low_Complexity!$B$2:$B$72),0,1),0),MATCH(Analysis_Low!K$28,Low_Complexity!$A$2:$K$2,0))</f>
        <v>10</v>
      </c>
    </row>
    <row r="41" spans="1:11" x14ac:dyDescent="0.25">
      <c r="A41">
        <f t="shared" si="21"/>
        <v>13</v>
      </c>
      <c r="B41" t="s">
        <v>16</v>
      </c>
      <c r="C41" cm="1">
        <f t="array" ref="C41">INDEX(Low_Complexity!$A$2:$K$72,MATCH(1,INDEX((Analysis_Low!$A41=Low_Complexity!$A$2:$A$72)*(Analysis_Low!$B41=Low_Complexity!$B$2:$B$72),0,1),0),MATCH(Analysis_Low!C$28,Low_Complexity!$A$2:$K$2,0))</f>
        <v>1</v>
      </c>
      <c r="D41" cm="1">
        <f t="array" ref="D41">INDEX(Low_Complexity!$A$2:$K$72,MATCH(1,INDEX((Analysis_Low!$A41=Low_Complexity!$A$2:$A$72)*(Analysis_Low!$B41=Low_Complexity!$B$2:$B$72),0,1),0),MATCH(Analysis_Low!D$28,Low_Complexity!$A$2:$K$2,0))</f>
        <v>3</v>
      </c>
      <c r="E41" cm="1">
        <f t="array" ref="E41">INDEX(Low_Complexity!$A$2:$K$72,MATCH(1,INDEX((Analysis_Low!$A41=Low_Complexity!$A$2:$A$72)*(Analysis_Low!$B41=Low_Complexity!$B$2:$B$72),0,1),0),MATCH(Analysis_Low!E$28,Low_Complexity!$A$2:$K$2,0))</f>
        <v>1</v>
      </c>
      <c r="F41" cm="1">
        <f t="array" ref="F41">INDEX(Low_Complexity!$A$2:$K$72,MATCH(1,INDEX((Analysis_Low!$A41=Low_Complexity!$A$2:$A$72)*(Analysis_Low!$B41=Low_Complexity!$B$2:$B$72),0,1),0),MATCH(Analysis_Low!F$28,Low_Complexity!$A$2:$K$2,0))</f>
        <v>3</v>
      </c>
      <c r="G41" cm="1">
        <f t="array" ref="G41">INDEX(Low_Complexity!$A$2:$K$72,MATCH(1,INDEX((Analysis_Low!$A41=Low_Complexity!$A$2:$A$72)*(Analysis_Low!$B41=Low_Complexity!$B$2:$B$72),0,1),0),MATCH(Analysis_Low!G$28,Low_Complexity!$A$2:$K$2,0))</f>
        <v>3</v>
      </c>
      <c r="H41" cm="1">
        <f t="array" ref="H41">INDEX(Low_Complexity!$A$2:$K$72,MATCH(1,INDEX((Analysis_Low!$A41=Low_Complexity!$A$2:$A$72)*(Analysis_Low!$B41=Low_Complexity!$B$2:$B$72),0,1),0),MATCH(Analysis_Low!H$28,Low_Complexity!$A$2:$K$2,0))</f>
        <v>5</v>
      </c>
      <c r="I41" cm="1">
        <f t="array" ref="I41">INDEX(Low_Complexity!$A$2:$K$72,MATCH(1,INDEX((Analysis_Low!$A41=Low_Complexity!$A$2:$A$72)*(Analysis_Low!$B41=Low_Complexity!$B$2:$B$72),0,1),0),MATCH(Analysis_Low!I$28,Low_Complexity!$A$2:$K$2,0))</f>
        <v>3</v>
      </c>
      <c r="J41" cm="1">
        <f t="array" ref="J41">INDEX(Low_Complexity!$A$2:$K$72,MATCH(1,INDEX((Analysis_Low!$A41=Low_Complexity!$A$2:$A$72)*(Analysis_Low!$B41=Low_Complexity!$B$2:$B$72),0,1),0),MATCH(Analysis_Low!J$28,Low_Complexity!$A$2:$K$2,0))</f>
        <v>2</v>
      </c>
      <c r="K41" cm="1">
        <f t="array" ref="K41">INDEX(Low_Complexity!$A$2:$K$72,MATCH(1,INDEX((Analysis_Low!$A41=Low_Complexity!$A$2:$A$72)*(Analysis_Low!$B41=Low_Complexity!$B$2:$B$72),0,1),0),MATCH(Analysis_Low!K$28,Low_Complexity!$A$2:$K$2,0))</f>
        <v>30</v>
      </c>
    </row>
    <row r="42" spans="1:11" x14ac:dyDescent="0.25">
      <c r="A42">
        <f t="shared" si="21"/>
        <v>14</v>
      </c>
      <c r="B42" t="s">
        <v>16</v>
      </c>
      <c r="C42" cm="1">
        <f t="array" ref="C42">INDEX(Low_Complexity!$A$2:$K$72,MATCH(1,INDEX((Analysis_Low!$A42=Low_Complexity!$A$2:$A$72)*(Analysis_Low!$B42=Low_Complexity!$B$2:$B$72),0,1),0),MATCH(Analysis_Low!C$28,Low_Complexity!$A$2:$K$2,0))</f>
        <v>1</v>
      </c>
      <c r="D42" cm="1">
        <f t="array" ref="D42">INDEX(Low_Complexity!$A$2:$K$72,MATCH(1,INDEX((Analysis_Low!$A42=Low_Complexity!$A$2:$A$72)*(Analysis_Low!$B42=Low_Complexity!$B$2:$B$72),0,1),0),MATCH(Analysis_Low!D$28,Low_Complexity!$A$2:$K$2,0))</f>
        <v>3</v>
      </c>
      <c r="E42" cm="1">
        <f t="array" ref="E42">INDEX(Low_Complexity!$A$2:$K$72,MATCH(1,INDEX((Analysis_Low!$A42=Low_Complexity!$A$2:$A$72)*(Analysis_Low!$B42=Low_Complexity!$B$2:$B$72),0,1),0),MATCH(Analysis_Low!E$28,Low_Complexity!$A$2:$K$2,0))</f>
        <v>1</v>
      </c>
      <c r="F42" cm="1">
        <f t="array" ref="F42">INDEX(Low_Complexity!$A$2:$K$72,MATCH(1,INDEX((Analysis_Low!$A42=Low_Complexity!$A$2:$A$72)*(Analysis_Low!$B42=Low_Complexity!$B$2:$B$72),0,1),0),MATCH(Analysis_Low!F$28,Low_Complexity!$A$2:$K$2,0))</f>
        <v>4</v>
      </c>
      <c r="G42" cm="1">
        <f t="array" ref="G42">INDEX(Low_Complexity!$A$2:$K$72,MATCH(1,INDEX((Analysis_Low!$A42=Low_Complexity!$A$2:$A$72)*(Analysis_Low!$B42=Low_Complexity!$B$2:$B$72),0,1),0),MATCH(Analysis_Low!G$28,Low_Complexity!$A$2:$K$2,0))</f>
        <v>3</v>
      </c>
      <c r="H42" cm="1">
        <f t="array" ref="H42">INDEX(Low_Complexity!$A$2:$K$72,MATCH(1,INDEX((Analysis_Low!$A42=Low_Complexity!$A$2:$A$72)*(Analysis_Low!$B42=Low_Complexity!$B$2:$B$72),0,1),0),MATCH(Analysis_Low!H$28,Low_Complexity!$A$2:$K$2,0))</f>
        <v>5</v>
      </c>
      <c r="I42" cm="1">
        <f t="array" ref="I42">INDEX(Low_Complexity!$A$2:$K$72,MATCH(1,INDEX((Analysis_Low!$A42=Low_Complexity!$A$2:$A$72)*(Analysis_Low!$B42=Low_Complexity!$B$2:$B$72),0,1),0),MATCH(Analysis_Low!I$28,Low_Complexity!$A$2:$K$2,0))</f>
        <v>1</v>
      </c>
      <c r="J42" cm="1">
        <f t="array" ref="J42">INDEX(Low_Complexity!$A$2:$K$72,MATCH(1,INDEX((Analysis_Low!$A42=Low_Complexity!$A$2:$A$72)*(Analysis_Low!$B42=Low_Complexity!$B$2:$B$72),0,1),0),MATCH(Analysis_Low!J$28,Low_Complexity!$A$2:$K$2,0))</f>
        <v>3</v>
      </c>
      <c r="K42" cm="1">
        <f t="array" ref="K42">INDEX(Low_Complexity!$A$2:$K$72,MATCH(1,INDEX((Analysis_Low!$A42=Low_Complexity!$A$2:$A$72)*(Analysis_Low!$B42=Low_Complexity!$B$2:$B$72),0,1),0),MATCH(Analysis_Low!K$28,Low_Complexity!$A$2:$K$2,0))</f>
        <v>35</v>
      </c>
    </row>
    <row r="43" spans="1:11" x14ac:dyDescent="0.25">
      <c r="A43" s="2" t="s">
        <v>23</v>
      </c>
      <c r="B43" s="2"/>
      <c r="C43" s="2">
        <f>AVERAGE(C29:C42)</f>
        <v>2.5</v>
      </c>
      <c r="D43" s="2">
        <f t="shared" ref="D43:K43" si="22">AVERAGE(D29:D42)</f>
        <v>3.7857142857142856</v>
      </c>
      <c r="E43" s="2">
        <f t="shared" si="22"/>
        <v>2.6428571428571428</v>
      </c>
      <c r="F43" s="2">
        <f t="shared" si="22"/>
        <v>3.8571428571428572</v>
      </c>
      <c r="G43" s="2">
        <f t="shared" si="22"/>
        <v>2.8571428571428572</v>
      </c>
      <c r="H43" s="2">
        <f t="shared" si="22"/>
        <v>3.5714285714285716</v>
      </c>
      <c r="I43" s="2">
        <f t="shared" si="22"/>
        <v>2.4285714285714284</v>
      </c>
      <c r="J43" s="2">
        <f t="shared" si="22"/>
        <v>2.7857142857142856</v>
      </c>
      <c r="K43" s="2">
        <f t="shared" si="22"/>
        <v>34.285714285714285</v>
      </c>
    </row>
    <row r="44" spans="1:11" x14ac:dyDescent="0.25">
      <c r="A44" t="s">
        <v>24</v>
      </c>
      <c r="C44">
        <f>MEDIAN(C29:C42)</f>
        <v>3</v>
      </c>
      <c r="D44">
        <f t="shared" ref="D44:K44" si="23">MEDIAN(D29:D42)</f>
        <v>4</v>
      </c>
      <c r="E44">
        <f t="shared" si="23"/>
        <v>3</v>
      </c>
      <c r="F44">
        <f t="shared" si="23"/>
        <v>4</v>
      </c>
      <c r="G44">
        <f t="shared" si="23"/>
        <v>3</v>
      </c>
      <c r="H44">
        <f t="shared" si="23"/>
        <v>4</v>
      </c>
      <c r="I44">
        <f t="shared" si="23"/>
        <v>3</v>
      </c>
      <c r="J44">
        <f t="shared" si="23"/>
        <v>2.5</v>
      </c>
      <c r="K44">
        <f t="shared" si="23"/>
        <v>30</v>
      </c>
    </row>
    <row r="47" spans="1:11" x14ac:dyDescent="0.25">
      <c r="A47" s="1" t="s">
        <v>22</v>
      </c>
      <c r="B47" s="1" t="s">
        <v>0</v>
      </c>
      <c r="C47" s="1" t="s">
        <v>1</v>
      </c>
      <c r="D47" s="1" t="s">
        <v>37</v>
      </c>
      <c r="E47" s="1" t="s">
        <v>3</v>
      </c>
      <c r="F47" s="1" t="s">
        <v>38</v>
      </c>
      <c r="G47" s="1" t="s">
        <v>5</v>
      </c>
      <c r="H47" s="1" t="s">
        <v>41</v>
      </c>
      <c r="I47" s="1" t="s">
        <v>42</v>
      </c>
      <c r="J47" s="13" t="s">
        <v>39</v>
      </c>
      <c r="K47" s="1" t="s">
        <v>10</v>
      </c>
    </row>
    <row r="48" spans="1:11" x14ac:dyDescent="0.25">
      <c r="A48">
        <v>1</v>
      </c>
      <c r="B48" t="s">
        <v>12</v>
      </c>
      <c r="C48" cm="1">
        <f t="array" ref="C48">INDEX(Low_Complexity!$A$2:$K$72,MATCH(1,INDEX((Analysis_Low!$A48=Low_Complexity!$A$2:$A$72)*(Analysis_Low!$B48=Low_Complexity!$B$2:$B$72),0,1),0),MATCH(Analysis_Low!C$47,Low_Complexity!$A$2:$K$2,0))</f>
        <v>5</v>
      </c>
      <c r="D48" cm="1">
        <f t="array" ref="D48">INDEX(Low_Complexity!$A$2:$K$72,MATCH(1,INDEX((Analysis_Low!$A48=Low_Complexity!$A$2:$A$72)*(Analysis_Low!$B48=Low_Complexity!$B$2:$B$72),0,1),0),MATCH(Analysis_Low!D$47,Low_Complexity!$A$2:$K$2,0))</f>
        <v>4</v>
      </c>
      <c r="E48" cm="1">
        <f t="array" ref="E48">INDEX(Low_Complexity!$A$2:$K$72,MATCH(1,INDEX((Analysis_Low!$A48=Low_Complexity!$A$2:$A$72)*(Analysis_Low!$B48=Low_Complexity!$B$2:$B$72),0,1),0),MATCH(Analysis_Low!E$47,Low_Complexity!$A$2:$K$2,0))</f>
        <v>1</v>
      </c>
      <c r="F48" cm="1">
        <f t="array" ref="F48">INDEX(Low_Complexity!$A$2:$K$72,MATCH(1,INDEX((Analysis_Low!$A48=Low_Complexity!$A$2:$A$72)*(Analysis_Low!$B48=Low_Complexity!$B$2:$B$72),0,1),0),MATCH(Analysis_Low!F$47,Low_Complexity!$A$2:$K$2,0))</f>
        <v>4</v>
      </c>
      <c r="G48" cm="1">
        <f t="array" ref="G48">INDEX(Low_Complexity!$A$2:$K$72,MATCH(1,INDEX((Analysis_Low!$A48=Low_Complexity!$A$2:$A$72)*(Analysis_Low!$B48=Low_Complexity!$B$2:$B$72),0,1),0),MATCH(Analysis_Low!G$47,Low_Complexity!$A$2:$K$2,0))</f>
        <v>3</v>
      </c>
      <c r="H48" cm="1">
        <f t="array" ref="H48">INDEX(Low_Complexity!$A$2:$K$72,MATCH(1,INDEX((Analysis_Low!$A48=Low_Complexity!$A$2:$A$72)*(Analysis_Low!$B48=Low_Complexity!$B$2:$B$72),0,1),0),MATCH(Analysis_Low!H$47,Low_Complexity!$A$2:$K$2,0))</f>
        <v>3</v>
      </c>
      <c r="I48" cm="1">
        <f t="array" ref="I48">INDEX(Low_Complexity!$A$2:$K$72,MATCH(1,INDEX((Analysis_Low!$A48=Low_Complexity!$A$2:$A$72)*(Analysis_Low!$B48=Low_Complexity!$B$2:$B$72),0,1),0),MATCH(Analysis_Low!I$47,Low_Complexity!$A$2:$K$2,0))</f>
        <v>5</v>
      </c>
      <c r="J48" cm="1">
        <f t="array" ref="J48">INDEX(Low_Complexity!$A$2:$K$72,MATCH(1,INDEX((Analysis_Low!$A48=Low_Complexity!$A$2:$A$72)*(Analysis_Low!$B48=Low_Complexity!$B$2:$B$72),0,1),0),MATCH(Analysis_Low!J$47,Low_Complexity!$A$2:$K$2,0))</f>
        <v>4</v>
      </c>
      <c r="K48" cm="1">
        <f t="array" ref="K48">INDEX(Low_Complexity!$A$2:$K$72,MATCH(1,INDEX((Analysis_Low!$A48=Low_Complexity!$A$2:$A$72)*(Analysis_Low!$B48=Low_Complexity!$B$2:$B$72),0,1),0),MATCH(Analysis_Low!K$47,Low_Complexity!$A$2:$K$2,0))</f>
        <v>10</v>
      </c>
    </row>
    <row r="49" spans="1:11" x14ac:dyDescent="0.25">
      <c r="A49">
        <f>A48+1</f>
        <v>2</v>
      </c>
      <c r="B49" t="s">
        <v>12</v>
      </c>
      <c r="C49" cm="1">
        <f t="array" ref="C49">INDEX(Low_Complexity!$A$2:$K$72,MATCH(1,INDEX((Analysis_Low!$A49=Low_Complexity!$A$2:$A$72)*(Analysis_Low!$B49=Low_Complexity!$B$2:$B$72),0,1),0),MATCH(Analysis_Low!C$47,Low_Complexity!$A$2:$K$2,0))</f>
        <v>4</v>
      </c>
      <c r="D49" cm="1">
        <f t="array" ref="D49">INDEX(Low_Complexity!$A$2:$K$72,MATCH(1,INDEX((Analysis_Low!$A49=Low_Complexity!$A$2:$A$72)*(Analysis_Low!$B49=Low_Complexity!$B$2:$B$72),0,1),0),MATCH(Analysis_Low!D$47,Low_Complexity!$A$2:$K$2,0))</f>
        <v>5</v>
      </c>
      <c r="E49" cm="1">
        <f t="array" ref="E49">INDEX(Low_Complexity!$A$2:$K$72,MATCH(1,INDEX((Analysis_Low!$A49=Low_Complexity!$A$2:$A$72)*(Analysis_Low!$B49=Low_Complexity!$B$2:$B$72),0,1),0),MATCH(Analysis_Low!E$47,Low_Complexity!$A$2:$K$2,0))</f>
        <v>2</v>
      </c>
      <c r="F49" cm="1">
        <f t="array" ref="F49">INDEX(Low_Complexity!$A$2:$K$72,MATCH(1,INDEX((Analysis_Low!$A49=Low_Complexity!$A$2:$A$72)*(Analysis_Low!$B49=Low_Complexity!$B$2:$B$72),0,1),0),MATCH(Analysis_Low!F$47,Low_Complexity!$A$2:$K$2,0))</f>
        <v>4</v>
      </c>
      <c r="G49" cm="1">
        <f t="array" ref="G49">INDEX(Low_Complexity!$A$2:$K$72,MATCH(1,INDEX((Analysis_Low!$A49=Low_Complexity!$A$2:$A$72)*(Analysis_Low!$B49=Low_Complexity!$B$2:$B$72),0,1),0),MATCH(Analysis_Low!G$47,Low_Complexity!$A$2:$K$2,0))</f>
        <v>5</v>
      </c>
      <c r="H49" cm="1">
        <f t="array" ref="H49">INDEX(Low_Complexity!$A$2:$K$72,MATCH(1,INDEX((Analysis_Low!$A49=Low_Complexity!$A$2:$A$72)*(Analysis_Low!$B49=Low_Complexity!$B$2:$B$72),0,1),0),MATCH(Analysis_Low!H$47,Low_Complexity!$A$2:$K$2,0))</f>
        <v>1</v>
      </c>
      <c r="I49" cm="1">
        <f t="array" ref="I49">INDEX(Low_Complexity!$A$2:$K$72,MATCH(1,INDEX((Analysis_Low!$A49=Low_Complexity!$A$2:$A$72)*(Analysis_Low!$B49=Low_Complexity!$B$2:$B$72),0,1),0),MATCH(Analysis_Low!I$47,Low_Complexity!$A$2:$K$2,0))</f>
        <v>4</v>
      </c>
      <c r="J49" cm="1">
        <f t="array" ref="J49">INDEX(Low_Complexity!$A$2:$K$72,MATCH(1,INDEX((Analysis_Low!$A49=Low_Complexity!$A$2:$A$72)*(Analysis_Low!$B49=Low_Complexity!$B$2:$B$72),0,1),0),MATCH(Analysis_Low!J$47,Low_Complexity!$A$2:$K$2,0))</f>
        <v>4</v>
      </c>
      <c r="K49" cm="1">
        <f t="array" ref="K49">INDEX(Low_Complexity!$A$2:$K$72,MATCH(1,INDEX((Analysis_Low!$A49=Low_Complexity!$A$2:$A$72)*(Analysis_Low!$B49=Low_Complexity!$B$2:$B$72),0,1),0),MATCH(Analysis_Low!K$47,Low_Complexity!$A$2:$K$2,0))</f>
        <v>10</v>
      </c>
    </row>
    <row r="50" spans="1:11" x14ac:dyDescent="0.25">
      <c r="A50">
        <f t="shared" ref="A50:A61" si="24">A49+1</f>
        <v>3</v>
      </c>
      <c r="B50" t="s">
        <v>12</v>
      </c>
      <c r="C50" cm="1">
        <f t="array" ref="C50">INDEX(Low_Complexity!$A$2:$K$72,MATCH(1,INDEX((Analysis_Low!$A50=Low_Complexity!$A$2:$A$72)*(Analysis_Low!$B50=Low_Complexity!$B$2:$B$72),0,1),0),MATCH(Analysis_Low!C$47,Low_Complexity!$A$2:$K$2,0))</f>
        <v>4</v>
      </c>
      <c r="D50" cm="1">
        <f t="array" ref="D50">INDEX(Low_Complexity!$A$2:$K$72,MATCH(1,INDEX((Analysis_Low!$A50=Low_Complexity!$A$2:$A$72)*(Analysis_Low!$B50=Low_Complexity!$B$2:$B$72),0,1),0),MATCH(Analysis_Low!D$47,Low_Complexity!$A$2:$K$2,0))</f>
        <v>3</v>
      </c>
      <c r="E50" cm="1">
        <f t="array" ref="E50">INDEX(Low_Complexity!$A$2:$K$72,MATCH(1,INDEX((Analysis_Low!$A50=Low_Complexity!$A$2:$A$72)*(Analysis_Low!$B50=Low_Complexity!$B$2:$B$72),0,1),0),MATCH(Analysis_Low!E$47,Low_Complexity!$A$2:$K$2,0))</f>
        <v>4</v>
      </c>
      <c r="F50" cm="1">
        <f t="array" ref="F50">INDEX(Low_Complexity!$A$2:$K$72,MATCH(1,INDEX((Analysis_Low!$A50=Low_Complexity!$A$2:$A$72)*(Analysis_Low!$B50=Low_Complexity!$B$2:$B$72),0,1),0),MATCH(Analysis_Low!F$47,Low_Complexity!$A$2:$K$2,0))</f>
        <v>2</v>
      </c>
      <c r="G50" cm="1">
        <f t="array" ref="G50">INDEX(Low_Complexity!$A$2:$K$72,MATCH(1,INDEX((Analysis_Low!$A50=Low_Complexity!$A$2:$A$72)*(Analysis_Low!$B50=Low_Complexity!$B$2:$B$72),0,1),0),MATCH(Analysis_Low!G$47,Low_Complexity!$A$2:$K$2,0))</f>
        <v>3</v>
      </c>
      <c r="H50" cm="1">
        <f t="array" ref="H50">INDEX(Low_Complexity!$A$2:$K$72,MATCH(1,INDEX((Analysis_Low!$A50=Low_Complexity!$A$2:$A$72)*(Analysis_Low!$B50=Low_Complexity!$B$2:$B$72),0,1),0),MATCH(Analysis_Low!H$47,Low_Complexity!$A$2:$K$2,0))</f>
        <v>1</v>
      </c>
      <c r="I50" cm="1">
        <f t="array" ref="I50">INDEX(Low_Complexity!$A$2:$K$72,MATCH(1,INDEX((Analysis_Low!$A50=Low_Complexity!$A$2:$A$72)*(Analysis_Low!$B50=Low_Complexity!$B$2:$B$72),0,1),0),MATCH(Analysis_Low!I$47,Low_Complexity!$A$2:$K$2,0))</f>
        <v>4</v>
      </c>
      <c r="J50" cm="1">
        <f t="array" ref="J50">INDEX(Low_Complexity!$A$2:$K$72,MATCH(1,INDEX((Analysis_Low!$A50=Low_Complexity!$A$2:$A$72)*(Analysis_Low!$B50=Low_Complexity!$B$2:$B$72),0,1),0),MATCH(Analysis_Low!J$47,Low_Complexity!$A$2:$K$2,0))</f>
        <v>3</v>
      </c>
      <c r="K50" cm="1">
        <f t="array" ref="K50">INDEX(Low_Complexity!$A$2:$K$72,MATCH(1,INDEX((Analysis_Low!$A50=Low_Complexity!$A$2:$A$72)*(Analysis_Low!$B50=Low_Complexity!$B$2:$B$72),0,1),0),MATCH(Analysis_Low!K$47,Low_Complexity!$A$2:$K$2,0))</f>
        <v>5</v>
      </c>
    </row>
    <row r="51" spans="1:11" x14ac:dyDescent="0.25">
      <c r="A51">
        <f t="shared" si="24"/>
        <v>4</v>
      </c>
      <c r="B51" t="s">
        <v>12</v>
      </c>
      <c r="C51" cm="1">
        <f t="array" ref="C51">INDEX(Low_Complexity!$A$2:$K$72,MATCH(1,INDEX((Analysis_Low!$A51=Low_Complexity!$A$2:$A$72)*(Analysis_Low!$B51=Low_Complexity!$B$2:$B$72),0,1),0),MATCH(Analysis_Low!C$47,Low_Complexity!$A$2:$K$2,0))</f>
        <v>4</v>
      </c>
      <c r="D51" cm="1">
        <f t="array" ref="D51">INDEX(Low_Complexity!$A$2:$K$72,MATCH(1,INDEX((Analysis_Low!$A51=Low_Complexity!$A$2:$A$72)*(Analysis_Low!$B51=Low_Complexity!$B$2:$B$72),0,1),0),MATCH(Analysis_Low!D$47,Low_Complexity!$A$2:$K$2,0))</f>
        <v>4</v>
      </c>
      <c r="E51" cm="1">
        <f t="array" ref="E51">INDEX(Low_Complexity!$A$2:$K$72,MATCH(1,INDEX((Analysis_Low!$A51=Low_Complexity!$A$2:$A$72)*(Analysis_Low!$B51=Low_Complexity!$B$2:$B$72),0,1),0),MATCH(Analysis_Low!E$47,Low_Complexity!$A$2:$K$2,0))</f>
        <v>1</v>
      </c>
      <c r="F51" cm="1">
        <f t="array" ref="F51">INDEX(Low_Complexity!$A$2:$K$72,MATCH(1,INDEX((Analysis_Low!$A51=Low_Complexity!$A$2:$A$72)*(Analysis_Low!$B51=Low_Complexity!$B$2:$B$72),0,1),0),MATCH(Analysis_Low!F$47,Low_Complexity!$A$2:$K$2,0))</f>
        <v>4</v>
      </c>
      <c r="G51" cm="1">
        <f t="array" ref="G51">INDEX(Low_Complexity!$A$2:$K$72,MATCH(1,INDEX((Analysis_Low!$A51=Low_Complexity!$A$2:$A$72)*(Analysis_Low!$B51=Low_Complexity!$B$2:$B$72),0,1),0),MATCH(Analysis_Low!G$47,Low_Complexity!$A$2:$K$2,0))</f>
        <v>1</v>
      </c>
      <c r="H51" cm="1">
        <f t="array" ref="H51">INDEX(Low_Complexity!$A$2:$K$72,MATCH(1,INDEX((Analysis_Low!$A51=Low_Complexity!$A$2:$A$72)*(Analysis_Low!$B51=Low_Complexity!$B$2:$B$72),0,1),0),MATCH(Analysis_Low!H$47,Low_Complexity!$A$2:$K$2,0))</f>
        <v>1</v>
      </c>
      <c r="I51" cm="1">
        <f t="array" ref="I51">INDEX(Low_Complexity!$A$2:$K$72,MATCH(1,INDEX((Analysis_Low!$A51=Low_Complexity!$A$2:$A$72)*(Analysis_Low!$B51=Low_Complexity!$B$2:$B$72),0,1),0),MATCH(Analysis_Low!I$47,Low_Complexity!$A$2:$K$2,0))</f>
        <v>4</v>
      </c>
      <c r="J51" cm="1">
        <f t="array" ref="J51">INDEX(Low_Complexity!$A$2:$K$72,MATCH(1,INDEX((Analysis_Low!$A51=Low_Complexity!$A$2:$A$72)*(Analysis_Low!$B51=Low_Complexity!$B$2:$B$72),0,1),0),MATCH(Analysis_Low!J$47,Low_Complexity!$A$2:$K$2,0))</f>
        <v>1</v>
      </c>
      <c r="K51" cm="1">
        <f t="array" ref="K51">INDEX(Low_Complexity!$A$2:$K$72,MATCH(1,INDEX((Analysis_Low!$A51=Low_Complexity!$A$2:$A$72)*(Analysis_Low!$B51=Low_Complexity!$B$2:$B$72),0,1),0),MATCH(Analysis_Low!K$47,Low_Complexity!$A$2:$K$2,0))</f>
        <v>20</v>
      </c>
    </row>
    <row r="52" spans="1:11" x14ac:dyDescent="0.25">
      <c r="A52">
        <f t="shared" si="24"/>
        <v>5</v>
      </c>
      <c r="B52" t="s">
        <v>12</v>
      </c>
      <c r="C52" cm="1">
        <f t="array" ref="C52">INDEX(Low_Complexity!$A$2:$K$72,MATCH(1,INDEX((Analysis_Low!$A52=Low_Complexity!$A$2:$A$72)*(Analysis_Low!$B52=Low_Complexity!$B$2:$B$72),0,1),0),MATCH(Analysis_Low!C$47,Low_Complexity!$A$2:$K$2,0))</f>
        <v>5</v>
      </c>
      <c r="D52" cm="1">
        <f t="array" ref="D52">INDEX(Low_Complexity!$A$2:$K$72,MATCH(1,INDEX((Analysis_Low!$A52=Low_Complexity!$A$2:$A$72)*(Analysis_Low!$B52=Low_Complexity!$B$2:$B$72),0,1),0),MATCH(Analysis_Low!D$47,Low_Complexity!$A$2:$K$2,0))</f>
        <v>5</v>
      </c>
      <c r="E52" cm="1">
        <f t="array" ref="E52">INDEX(Low_Complexity!$A$2:$K$72,MATCH(1,INDEX((Analysis_Low!$A52=Low_Complexity!$A$2:$A$72)*(Analysis_Low!$B52=Low_Complexity!$B$2:$B$72),0,1),0),MATCH(Analysis_Low!E$47,Low_Complexity!$A$2:$K$2,0))</f>
        <v>5</v>
      </c>
      <c r="F52" cm="1">
        <f t="array" ref="F52">INDEX(Low_Complexity!$A$2:$K$72,MATCH(1,INDEX((Analysis_Low!$A52=Low_Complexity!$A$2:$A$72)*(Analysis_Low!$B52=Low_Complexity!$B$2:$B$72),0,1),0),MATCH(Analysis_Low!F$47,Low_Complexity!$A$2:$K$2,0))</f>
        <v>4</v>
      </c>
      <c r="G52" cm="1">
        <f t="array" ref="G52">INDEX(Low_Complexity!$A$2:$K$72,MATCH(1,INDEX((Analysis_Low!$A52=Low_Complexity!$A$2:$A$72)*(Analysis_Low!$B52=Low_Complexity!$B$2:$B$72),0,1),0),MATCH(Analysis_Low!G$47,Low_Complexity!$A$2:$K$2,0))</f>
        <v>4</v>
      </c>
      <c r="H52" cm="1">
        <f t="array" ref="H52">INDEX(Low_Complexity!$A$2:$K$72,MATCH(1,INDEX((Analysis_Low!$A52=Low_Complexity!$A$2:$A$72)*(Analysis_Low!$B52=Low_Complexity!$B$2:$B$72),0,1),0),MATCH(Analysis_Low!H$47,Low_Complexity!$A$2:$K$2,0))</f>
        <v>3</v>
      </c>
      <c r="I52" cm="1">
        <f t="array" ref="I52">INDEX(Low_Complexity!$A$2:$K$72,MATCH(1,INDEX((Analysis_Low!$A52=Low_Complexity!$A$2:$A$72)*(Analysis_Low!$B52=Low_Complexity!$B$2:$B$72),0,1),0),MATCH(Analysis_Low!I$47,Low_Complexity!$A$2:$K$2,0))</f>
        <v>5</v>
      </c>
      <c r="J52" cm="1">
        <f t="array" ref="J52">INDEX(Low_Complexity!$A$2:$K$72,MATCH(1,INDEX((Analysis_Low!$A52=Low_Complexity!$A$2:$A$72)*(Analysis_Low!$B52=Low_Complexity!$B$2:$B$72),0,1),0),MATCH(Analysis_Low!J$47,Low_Complexity!$A$2:$K$2,0))</f>
        <v>4</v>
      </c>
      <c r="K52" cm="1">
        <f t="array" ref="K52">INDEX(Low_Complexity!$A$2:$K$72,MATCH(1,INDEX((Analysis_Low!$A52=Low_Complexity!$A$2:$A$72)*(Analysis_Low!$B52=Low_Complexity!$B$2:$B$72),0,1),0),MATCH(Analysis_Low!K$47,Low_Complexity!$A$2:$K$2,0))</f>
        <v>10</v>
      </c>
    </row>
    <row r="53" spans="1:11" x14ac:dyDescent="0.25">
      <c r="A53">
        <f t="shared" si="24"/>
        <v>6</v>
      </c>
      <c r="B53" t="s">
        <v>12</v>
      </c>
      <c r="C53" cm="1">
        <f t="array" ref="C53">INDEX(Low_Complexity!$A$2:$K$72,MATCH(1,INDEX((Analysis_Low!$A53=Low_Complexity!$A$2:$A$72)*(Analysis_Low!$B53=Low_Complexity!$B$2:$B$72),0,1),0),MATCH(Analysis_Low!C$47,Low_Complexity!$A$2:$K$2,0))</f>
        <v>2</v>
      </c>
      <c r="D53" cm="1">
        <f t="array" ref="D53">INDEX(Low_Complexity!$A$2:$K$72,MATCH(1,INDEX((Analysis_Low!$A53=Low_Complexity!$A$2:$A$72)*(Analysis_Low!$B53=Low_Complexity!$B$2:$B$72),0,1),0),MATCH(Analysis_Low!D$47,Low_Complexity!$A$2:$K$2,0))</f>
        <v>5</v>
      </c>
      <c r="E53" cm="1">
        <f t="array" ref="E53">INDEX(Low_Complexity!$A$2:$K$72,MATCH(1,INDEX((Analysis_Low!$A53=Low_Complexity!$A$2:$A$72)*(Analysis_Low!$B53=Low_Complexity!$B$2:$B$72),0,1),0),MATCH(Analysis_Low!E$47,Low_Complexity!$A$2:$K$2,0))</f>
        <v>2</v>
      </c>
      <c r="F53" cm="1">
        <f t="array" ref="F53">INDEX(Low_Complexity!$A$2:$K$72,MATCH(1,INDEX((Analysis_Low!$A53=Low_Complexity!$A$2:$A$72)*(Analysis_Low!$B53=Low_Complexity!$B$2:$B$72),0,1),0),MATCH(Analysis_Low!F$47,Low_Complexity!$A$2:$K$2,0))</f>
        <v>3</v>
      </c>
      <c r="G53" cm="1">
        <f t="array" ref="G53">INDEX(Low_Complexity!$A$2:$K$72,MATCH(1,INDEX((Analysis_Low!$A53=Low_Complexity!$A$2:$A$72)*(Analysis_Low!$B53=Low_Complexity!$B$2:$B$72),0,1),0),MATCH(Analysis_Low!G$47,Low_Complexity!$A$2:$K$2,0))</f>
        <v>3</v>
      </c>
      <c r="H53" cm="1">
        <f t="array" ref="H53">INDEX(Low_Complexity!$A$2:$K$72,MATCH(1,INDEX((Analysis_Low!$A53=Low_Complexity!$A$2:$A$72)*(Analysis_Low!$B53=Low_Complexity!$B$2:$B$72),0,1),0),MATCH(Analysis_Low!H$47,Low_Complexity!$A$2:$K$2,0))</f>
        <v>2</v>
      </c>
      <c r="I53" cm="1">
        <f t="array" ref="I53">INDEX(Low_Complexity!$A$2:$K$72,MATCH(1,INDEX((Analysis_Low!$A53=Low_Complexity!$A$2:$A$72)*(Analysis_Low!$B53=Low_Complexity!$B$2:$B$72),0,1),0),MATCH(Analysis_Low!I$47,Low_Complexity!$A$2:$K$2,0))</f>
        <v>1</v>
      </c>
      <c r="J53" cm="1">
        <f t="array" ref="J53">INDEX(Low_Complexity!$A$2:$K$72,MATCH(1,INDEX((Analysis_Low!$A53=Low_Complexity!$A$2:$A$72)*(Analysis_Low!$B53=Low_Complexity!$B$2:$B$72),0,1),0),MATCH(Analysis_Low!J$47,Low_Complexity!$A$2:$K$2,0))</f>
        <v>2</v>
      </c>
      <c r="K53" cm="1">
        <f t="array" ref="K53">INDEX(Low_Complexity!$A$2:$K$72,MATCH(1,INDEX((Analysis_Low!$A53=Low_Complexity!$A$2:$A$72)*(Analysis_Low!$B53=Low_Complexity!$B$2:$B$72),0,1),0),MATCH(Analysis_Low!K$47,Low_Complexity!$A$2:$K$2,0))</f>
        <v>0</v>
      </c>
    </row>
    <row r="54" spans="1:11" x14ac:dyDescent="0.25">
      <c r="A54">
        <f t="shared" si="24"/>
        <v>7</v>
      </c>
      <c r="B54" t="s">
        <v>12</v>
      </c>
      <c r="C54" cm="1">
        <f t="array" ref="C54">INDEX(Low_Complexity!$A$2:$K$72,MATCH(1,INDEX((Analysis_Low!$A54=Low_Complexity!$A$2:$A$72)*(Analysis_Low!$B54=Low_Complexity!$B$2:$B$72),0,1),0),MATCH(Analysis_Low!C$47,Low_Complexity!$A$2:$K$2,0))</f>
        <v>5</v>
      </c>
      <c r="D54" cm="1">
        <f t="array" ref="D54">INDEX(Low_Complexity!$A$2:$K$72,MATCH(1,INDEX((Analysis_Low!$A54=Low_Complexity!$A$2:$A$72)*(Analysis_Low!$B54=Low_Complexity!$B$2:$B$72),0,1),0),MATCH(Analysis_Low!D$47,Low_Complexity!$A$2:$K$2,0))</f>
        <v>4</v>
      </c>
      <c r="E54" cm="1">
        <f t="array" ref="E54">INDEX(Low_Complexity!$A$2:$K$72,MATCH(1,INDEX((Analysis_Low!$A54=Low_Complexity!$A$2:$A$72)*(Analysis_Low!$B54=Low_Complexity!$B$2:$B$72),0,1),0),MATCH(Analysis_Low!E$47,Low_Complexity!$A$2:$K$2,0))</f>
        <v>4</v>
      </c>
      <c r="F54" cm="1">
        <f t="array" ref="F54">INDEX(Low_Complexity!$A$2:$K$72,MATCH(1,INDEX((Analysis_Low!$A54=Low_Complexity!$A$2:$A$72)*(Analysis_Low!$B54=Low_Complexity!$B$2:$B$72),0,1),0),MATCH(Analysis_Low!F$47,Low_Complexity!$A$2:$K$2,0))</f>
        <v>3</v>
      </c>
      <c r="G54" cm="1">
        <f t="array" ref="G54">INDEX(Low_Complexity!$A$2:$K$72,MATCH(1,INDEX((Analysis_Low!$A54=Low_Complexity!$A$2:$A$72)*(Analysis_Low!$B54=Low_Complexity!$B$2:$B$72),0,1),0),MATCH(Analysis_Low!G$47,Low_Complexity!$A$2:$K$2,0))</f>
        <v>3</v>
      </c>
      <c r="H54" cm="1">
        <f t="array" ref="H54">INDEX(Low_Complexity!$A$2:$K$72,MATCH(1,INDEX((Analysis_Low!$A54=Low_Complexity!$A$2:$A$72)*(Analysis_Low!$B54=Low_Complexity!$B$2:$B$72),0,1),0),MATCH(Analysis_Low!H$47,Low_Complexity!$A$2:$K$2,0))</f>
        <v>1</v>
      </c>
      <c r="I54" cm="1">
        <f t="array" ref="I54">INDEX(Low_Complexity!$A$2:$K$72,MATCH(1,INDEX((Analysis_Low!$A54=Low_Complexity!$A$2:$A$72)*(Analysis_Low!$B54=Low_Complexity!$B$2:$B$72),0,1),0),MATCH(Analysis_Low!I$47,Low_Complexity!$A$2:$K$2,0))</f>
        <v>5</v>
      </c>
      <c r="J54" cm="1">
        <f t="array" ref="J54">INDEX(Low_Complexity!$A$2:$K$72,MATCH(1,INDEX((Analysis_Low!$A54=Low_Complexity!$A$2:$A$72)*(Analysis_Low!$B54=Low_Complexity!$B$2:$B$72),0,1),0),MATCH(Analysis_Low!J$47,Low_Complexity!$A$2:$K$2,0))</f>
        <v>4</v>
      </c>
      <c r="K54" cm="1">
        <f t="array" ref="K54">INDEX(Low_Complexity!$A$2:$K$72,MATCH(1,INDEX((Analysis_Low!$A54=Low_Complexity!$A$2:$A$72)*(Analysis_Low!$B54=Low_Complexity!$B$2:$B$72),0,1),0),MATCH(Analysis_Low!K$47,Low_Complexity!$A$2:$K$2,0))</f>
        <v>5</v>
      </c>
    </row>
    <row r="55" spans="1:11" x14ac:dyDescent="0.25">
      <c r="A55">
        <f t="shared" si="24"/>
        <v>8</v>
      </c>
      <c r="B55" t="s">
        <v>12</v>
      </c>
      <c r="C55" cm="1">
        <f t="array" ref="C55">INDEX(Low_Complexity!$A$2:$K$72,MATCH(1,INDEX((Analysis_Low!$A55=Low_Complexity!$A$2:$A$72)*(Analysis_Low!$B55=Low_Complexity!$B$2:$B$72),0,1),0),MATCH(Analysis_Low!C$47,Low_Complexity!$A$2:$K$2,0))</f>
        <v>5</v>
      </c>
      <c r="D55" cm="1">
        <f t="array" ref="D55">INDEX(Low_Complexity!$A$2:$K$72,MATCH(1,INDEX((Analysis_Low!$A55=Low_Complexity!$A$2:$A$72)*(Analysis_Low!$B55=Low_Complexity!$B$2:$B$72),0,1),0),MATCH(Analysis_Low!D$47,Low_Complexity!$A$2:$K$2,0))</f>
        <v>4</v>
      </c>
      <c r="E55" cm="1">
        <f t="array" ref="E55">INDEX(Low_Complexity!$A$2:$K$72,MATCH(1,INDEX((Analysis_Low!$A55=Low_Complexity!$A$2:$A$72)*(Analysis_Low!$B55=Low_Complexity!$B$2:$B$72),0,1),0),MATCH(Analysis_Low!E$47,Low_Complexity!$A$2:$K$2,0))</f>
        <v>4</v>
      </c>
      <c r="F55" cm="1">
        <f t="array" ref="F55">INDEX(Low_Complexity!$A$2:$K$72,MATCH(1,INDEX((Analysis_Low!$A55=Low_Complexity!$A$2:$A$72)*(Analysis_Low!$B55=Low_Complexity!$B$2:$B$72),0,1),0),MATCH(Analysis_Low!F$47,Low_Complexity!$A$2:$K$2,0))</f>
        <v>2</v>
      </c>
      <c r="G55" cm="1">
        <f t="array" ref="G55">INDEX(Low_Complexity!$A$2:$K$72,MATCH(1,INDEX((Analysis_Low!$A55=Low_Complexity!$A$2:$A$72)*(Analysis_Low!$B55=Low_Complexity!$B$2:$B$72),0,1),0),MATCH(Analysis_Low!G$47,Low_Complexity!$A$2:$K$2,0))</f>
        <v>3</v>
      </c>
      <c r="H55" cm="1">
        <f t="array" ref="H55">INDEX(Low_Complexity!$A$2:$K$72,MATCH(1,INDEX((Analysis_Low!$A55=Low_Complexity!$A$2:$A$72)*(Analysis_Low!$B55=Low_Complexity!$B$2:$B$72),0,1),0),MATCH(Analysis_Low!H$47,Low_Complexity!$A$2:$K$2,0))</f>
        <v>1</v>
      </c>
      <c r="I55" cm="1">
        <f t="array" ref="I55">INDEX(Low_Complexity!$A$2:$K$72,MATCH(1,INDEX((Analysis_Low!$A55=Low_Complexity!$A$2:$A$72)*(Analysis_Low!$B55=Low_Complexity!$B$2:$B$72),0,1),0),MATCH(Analysis_Low!I$47,Low_Complexity!$A$2:$K$2,0))</f>
        <v>5</v>
      </c>
      <c r="J55" cm="1">
        <f t="array" ref="J55">INDEX(Low_Complexity!$A$2:$K$72,MATCH(1,INDEX((Analysis_Low!$A55=Low_Complexity!$A$2:$A$72)*(Analysis_Low!$B55=Low_Complexity!$B$2:$B$72),0,1),0),MATCH(Analysis_Low!J$47,Low_Complexity!$A$2:$K$2,0))</f>
        <v>3</v>
      </c>
      <c r="K55" cm="1">
        <f t="array" ref="K55">INDEX(Low_Complexity!$A$2:$K$72,MATCH(1,INDEX((Analysis_Low!$A55=Low_Complexity!$A$2:$A$72)*(Analysis_Low!$B55=Low_Complexity!$B$2:$B$72),0,1),0),MATCH(Analysis_Low!K$47,Low_Complexity!$A$2:$K$2,0))</f>
        <v>20</v>
      </c>
    </row>
    <row r="56" spans="1:11" x14ac:dyDescent="0.25">
      <c r="A56">
        <f t="shared" si="24"/>
        <v>9</v>
      </c>
      <c r="B56" t="s">
        <v>12</v>
      </c>
      <c r="C56" cm="1">
        <f t="array" ref="C56">INDEX(Low_Complexity!$A$2:$K$72,MATCH(1,INDEX((Analysis_Low!$A56=Low_Complexity!$A$2:$A$72)*(Analysis_Low!$B56=Low_Complexity!$B$2:$B$72),0,1),0),MATCH(Analysis_Low!C$47,Low_Complexity!$A$2:$K$2,0))</f>
        <v>4</v>
      </c>
      <c r="D56" cm="1">
        <f t="array" ref="D56">INDEX(Low_Complexity!$A$2:$K$72,MATCH(1,INDEX((Analysis_Low!$A56=Low_Complexity!$A$2:$A$72)*(Analysis_Low!$B56=Low_Complexity!$B$2:$B$72),0,1),0),MATCH(Analysis_Low!D$47,Low_Complexity!$A$2:$K$2,0))</f>
        <v>5</v>
      </c>
      <c r="E56" cm="1">
        <f t="array" ref="E56">INDEX(Low_Complexity!$A$2:$K$72,MATCH(1,INDEX((Analysis_Low!$A56=Low_Complexity!$A$2:$A$72)*(Analysis_Low!$B56=Low_Complexity!$B$2:$B$72),0,1),0),MATCH(Analysis_Low!E$47,Low_Complexity!$A$2:$K$2,0))</f>
        <v>3</v>
      </c>
      <c r="F56" cm="1">
        <f t="array" ref="F56">INDEX(Low_Complexity!$A$2:$K$72,MATCH(1,INDEX((Analysis_Low!$A56=Low_Complexity!$A$2:$A$72)*(Analysis_Low!$B56=Low_Complexity!$B$2:$B$72),0,1),0),MATCH(Analysis_Low!F$47,Low_Complexity!$A$2:$K$2,0))</f>
        <v>3</v>
      </c>
      <c r="G56" cm="1">
        <f t="array" ref="G56">INDEX(Low_Complexity!$A$2:$K$72,MATCH(1,INDEX((Analysis_Low!$A56=Low_Complexity!$A$2:$A$72)*(Analysis_Low!$B56=Low_Complexity!$B$2:$B$72),0,1),0),MATCH(Analysis_Low!G$47,Low_Complexity!$A$2:$K$2,0))</f>
        <v>3</v>
      </c>
      <c r="H56" cm="1">
        <f t="array" ref="H56">INDEX(Low_Complexity!$A$2:$K$72,MATCH(1,INDEX((Analysis_Low!$A56=Low_Complexity!$A$2:$A$72)*(Analysis_Low!$B56=Low_Complexity!$B$2:$B$72),0,1),0),MATCH(Analysis_Low!H$47,Low_Complexity!$A$2:$K$2,0))</f>
        <v>2</v>
      </c>
      <c r="I56" cm="1">
        <f t="array" ref="I56">INDEX(Low_Complexity!$A$2:$K$72,MATCH(1,INDEX((Analysis_Low!$A56=Low_Complexity!$A$2:$A$72)*(Analysis_Low!$B56=Low_Complexity!$B$2:$B$72),0,1),0),MATCH(Analysis_Low!I$47,Low_Complexity!$A$2:$K$2,0))</f>
        <v>3</v>
      </c>
      <c r="J56" cm="1">
        <f t="array" ref="J56">INDEX(Low_Complexity!$A$2:$K$72,MATCH(1,INDEX((Analysis_Low!$A56=Low_Complexity!$A$2:$A$72)*(Analysis_Low!$B56=Low_Complexity!$B$2:$B$72),0,1),0),MATCH(Analysis_Low!J$47,Low_Complexity!$A$2:$K$2,0))</f>
        <v>4</v>
      </c>
      <c r="K56" cm="1">
        <f t="array" ref="K56">INDEX(Low_Complexity!$A$2:$K$72,MATCH(1,INDEX((Analysis_Low!$A56=Low_Complexity!$A$2:$A$72)*(Analysis_Low!$B56=Low_Complexity!$B$2:$B$72),0,1),0),MATCH(Analysis_Low!K$47,Low_Complexity!$A$2:$K$2,0))</f>
        <v>5</v>
      </c>
    </row>
    <row r="57" spans="1:11" x14ac:dyDescent="0.25">
      <c r="A57">
        <f t="shared" si="24"/>
        <v>10</v>
      </c>
      <c r="B57" t="s">
        <v>12</v>
      </c>
      <c r="C57" cm="1">
        <f t="array" ref="C57">INDEX(Low_Complexity!$A$2:$K$72,MATCH(1,INDEX((Analysis_Low!$A57=Low_Complexity!$A$2:$A$72)*(Analysis_Low!$B57=Low_Complexity!$B$2:$B$72),0,1),0),MATCH(Analysis_Low!C$47,Low_Complexity!$A$2:$K$2,0))</f>
        <v>3</v>
      </c>
      <c r="D57" cm="1">
        <f t="array" ref="D57">INDEX(Low_Complexity!$A$2:$K$72,MATCH(1,INDEX((Analysis_Low!$A57=Low_Complexity!$A$2:$A$72)*(Analysis_Low!$B57=Low_Complexity!$B$2:$B$72),0,1),0),MATCH(Analysis_Low!D$47,Low_Complexity!$A$2:$K$2,0))</f>
        <v>5</v>
      </c>
      <c r="E57" cm="1">
        <f t="array" ref="E57">INDEX(Low_Complexity!$A$2:$K$72,MATCH(1,INDEX((Analysis_Low!$A57=Low_Complexity!$A$2:$A$72)*(Analysis_Low!$B57=Low_Complexity!$B$2:$B$72),0,1),0),MATCH(Analysis_Low!E$47,Low_Complexity!$A$2:$K$2,0))</f>
        <v>2</v>
      </c>
      <c r="F57" cm="1">
        <f t="array" ref="F57">INDEX(Low_Complexity!$A$2:$K$72,MATCH(1,INDEX((Analysis_Low!$A57=Low_Complexity!$A$2:$A$72)*(Analysis_Low!$B57=Low_Complexity!$B$2:$B$72),0,1),0),MATCH(Analysis_Low!F$47,Low_Complexity!$A$2:$K$2,0))</f>
        <v>5</v>
      </c>
      <c r="G57" cm="1">
        <f t="array" ref="G57">INDEX(Low_Complexity!$A$2:$K$72,MATCH(1,INDEX((Analysis_Low!$A57=Low_Complexity!$A$2:$A$72)*(Analysis_Low!$B57=Low_Complexity!$B$2:$B$72),0,1),0),MATCH(Analysis_Low!G$47,Low_Complexity!$A$2:$K$2,0))</f>
        <v>3</v>
      </c>
      <c r="H57" cm="1">
        <f t="array" ref="H57">INDEX(Low_Complexity!$A$2:$K$72,MATCH(1,INDEX((Analysis_Low!$A57=Low_Complexity!$A$2:$A$72)*(Analysis_Low!$B57=Low_Complexity!$B$2:$B$72),0,1),0),MATCH(Analysis_Low!H$47,Low_Complexity!$A$2:$K$2,0))</f>
        <v>4</v>
      </c>
      <c r="I57" cm="1">
        <f t="array" ref="I57">INDEX(Low_Complexity!$A$2:$K$72,MATCH(1,INDEX((Analysis_Low!$A57=Low_Complexity!$A$2:$A$72)*(Analysis_Low!$B57=Low_Complexity!$B$2:$B$72),0,1),0),MATCH(Analysis_Low!I$47,Low_Complexity!$A$2:$K$2,0))</f>
        <v>3</v>
      </c>
      <c r="J57" cm="1">
        <f t="array" ref="J57">INDEX(Low_Complexity!$A$2:$K$72,MATCH(1,INDEX((Analysis_Low!$A57=Low_Complexity!$A$2:$A$72)*(Analysis_Low!$B57=Low_Complexity!$B$2:$B$72),0,1),0),MATCH(Analysis_Low!J$47,Low_Complexity!$A$2:$K$2,0))</f>
        <v>3</v>
      </c>
      <c r="K57" cm="1">
        <f t="array" ref="K57">INDEX(Low_Complexity!$A$2:$K$72,MATCH(1,INDEX((Analysis_Low!$A57=Low_Complexity!$A$2:$A$72)*(Analysis_Low!$B57=Low_Complexity!$B$2:$B$72),0,1),0),MATCH(Analysis_Low!K$47,Low_Complexity!$A$2:$K$2,0))</f>
        <v>10</v>
      </c>
    </row>
    <row r="58" spans="1:11" x14ac:dyDescent="0.25">
      <c r="A58">
        <f t="shared" si="24"/>
        <v>11</v>
      </c>
      <c r="B58" t="s">
        <v>12</v>
      </c>
      <c r="C58" cm="1">
        <f t="array" ref="C58">INDEX(Low_Complexity!$A$2:$K$72,MATCH(1,INDEX((Analysis_Low!$A58=Low_Complexity!$A$2:$A$72)*(Analysis_Low!$B58=Low_Complexity!$B$2:$B$72),0,1),0),MATCH(Analysis_Low!C$47,Low_Complexity!$A$2:$K$2,0))</f>
        <v>3</v>
      </c>
      <c r="D58" cm="1">
        <f t="array" ref="D58">INDEX(Low_Complexity!$A$2:$K$72,MATCH(1,INDEX((Analysis_Low!$A58=Low_Complexity!$A$2:$A$72)*(Analysis_Low!$B58=Low_Complexity!$B$2:$B$72),0,1),0),MATCH(Analysis_Low!D$47,Low_Complexity!$A$2:$K$2,0))</f>
        <v>4</v>
      </c>
      <c r="E58" cm="1">
        <f t="array" ref="E58">INDEX(Low_Complexity!$A$2:$K$72,MATCH(1,INDEX((Analysis_Low!$A58=Low_Complexity!$A$2:$A$72)*(Analysis_Low!$B58=Low_Complexity!$B$2:$B$72),0,1),0),MATCH(Analysis_Low!E$47,Low_Complexity!$A$2:$K$2,0))</f>
        <v>3</v>
      </c>
      <c r="F58" cm="1">
        <f t="array" ref="F58">INDEX(Low_Complexity!$A$2:$K$72,MATCH(1,INDEX((Analysis_Low!$A58=Low_Complexity!$A$2:$A$72)*(Analysis_Low!$B58=Low_Complexity!$B$2:$B$72),0,1),0),MATCH(Analysis_Low!F$47,Low_Complexity!$A$2:$K$2,0))</f>
        <v>4</v>
      </c>
      <c r="G58" cm="1">
        <f t="array" ref="G58">INDEX(Low_Complexity!$A$2:$K$72,MATCH(1,INDEX((Analysis_Low!$A58=Low_Complexity!$A$2:$A$72)*(Analysis_Low!$B58=Low_Complexity!$B$2:$B$72),0,1),0),MATCH(Analysis_Low!G$47,Low_Complexity!$A$2:$K$2,0))</f>
        <v>3</v>
      </c>
      <c r="H58" cm="1">
        <f t="array" ref="H58">INDEX(Low_Complexity!$A$2:$K$72,MATCH(1,INDEX((Analysis_Low!$A58=Low_Complexity!$A$2:$A$72)*(Analysis_Low!$B58=Low_Complexity!$B$2:$B$72),0,1),0),MATCH(Analysis_Low!H$47,Low_Complexity!$A$2:$K$2,0))</f>
        <v>4</v>
      </c>
      <c r="I58" cm="1">
        <f t="array" ref="I58">INDEX(Low_Complexity!$A$2:$K$72,MATCH(1,INDEX((Analysis_Low!$A58=Low_Complexity!$A$2:$A$72)*(Analysis_Low!$B58=Low_Complexity!$B$2:$B$72),0,1),0),MATCH(Analysis_Low!I$47,Low_Complexity!$A$2:$K$2,0))</f>
        <v>2</v>
      </c>
      <c r="J58" cm="1">
        <f t="array" ref="J58">INDEX(Low_Complexity!$A$2:$K$72,MATCH(1,INDEX((Analysis_Low!$A58=Low_Complexity!$A$2:$A$72)*(Analysis_Low!$B58=Low_Complexity!$B$2:$B$72),0,1),0),MATCH(Analysis_Low!J$47,Low_Complexity!$A$2:$K$2,0))</f>
        <v>4</v>
      </c>
      <c r="K58" cm="1">
        <f t="array" ref="K58">INDEX(Low_Complexity!$A$2:$K$72,MATCH(1,INDEX((Analysis_Low!$A58=Low_Complexity!$A$2:$A$72)*(Analysis_Low!$B58=Low_Complexity!$B$2:$B$72),0,1),0),MATCH(Analysis_Low!K$47,Low_Complexity!$A$2:$K$2,0))</f>
        <v>25</v>
      </c>
    </row>
    <row r="59" spans="1:11" x14ac:dyDescent="0.25">
      <c r="A59">
        <f t="shared" si="24"/>
        <v>12</v>
      </c>
      <c r="B59" t="s">
        <v>12</v>
      </c>
      <c r="C59" cm="1">
        <f t="array" ref="C59">INDEX(Low_Complexity!$A$2:$K$72,MATCH(1,INDEX((Analysis_Low!$A59=Low_Complexity!$A$2:$A$72)*(Analysis_Low!$B59=Low_Complexity!$B$2:$B$72),0,1),0),MATCH(Analysis_Low!C$47,Low_Complexity!$A$2:$K$2,0))</f>
        <v>3</v>
      </c>
      <c r="D59" cm="1">
        <f t="array" ref="D59">INDEX(Low_Complexity!$A$2:$K$72,MATCH(1,INDEX((Analysis_Low!$A59=Low_Complexity!$A$2:$A$72)*(Analysis_Low!$B59=Low_Complexity!$B$2:$B$72),0,1),0),MATCH(Analysis_Low!D$47,Low_Complexity!$A$2:$K$2,0))</f>
        <v>4</v>
      </c>
      <c r="E59" cm="1">
        <f t="array" ref="E59">INDEX(Low_Complexity!$A$2:$K$72,MATCH(1,INDEX((Analysis_Low!$A59=Low_Complexity!$A$2:$A$72)*(Analysis_Low!$B59=Low_Complexity!$B$2:$B$72),0,1),0),MATCH(Analysis_Low!E$47,Low_Complexity!$A$2:$K$2,0))</f>
        <v>2</v>
      </c>
      <c r="F59" cm="1">
        <f t="array" ref="F59">INDEX(Low_Complexity!$A$2:$K$72,MATCH(1,INDEX((Analysis_Low!$A59=Low_Complexity!$A$2:$A$72)*(Analysis_Low!$B59=Low_Complexity!$B$2:$B$72),0,1),0),MATCH(Analysis_Low!F$47,Low_Complexity!$A$2:$K$2,0))</f>
        <v>2</v>
      </c>
      <c r="G59" cm="1">
        <f t="array" ref="G59">INDEX(Low_Complexity!$A$2:$K$72,MATCH(1,INDEX((Analysis_Low!$A59=Low_Complexity!$A$2:$A$72)*(Analysis_Low!$B59=Low_Complexity!$B$2:$B$72),0,1),0),MATCH(Analysis_Low!G$47,Low_Complexity!$A$2:$K$2,0))</f>
        <v>4</v>
      </c>
      <c r="H59" cm="1">
        <f t="array" ref="H59">INDEX(Low_Complexity!$A$2:$K$72,MATCH(1,INDEX((Analysis_Low!$A59=Low_Complexity!$A$2:$A$72)*(Analysis_Low!$B59=Low_Complexity!$B$2:$B$72),0,1),0),MATCH(Analysis_Low!H$47,Low_Complexity!$A$2:$K$2,0))</f>
        <v>2</v>
      </c>
      <c r="I59" cm="1">
        <f t="array" ref="I59">INDEX(Low_Complexity!$A$2:$K$72,MATCH(1,INDEX((Analysis_Low!$A59=Low_Complexity!$A$2:$A$72)*(Analysis_Low!$B59=Low_Complexity!$B$2:$B$72),0,1),0),MATCH(Analysis_Low!I$47,Low_Complexity!$A$2:$K$2,0))</f>
        <v>3</v>
      </c>
      <c r="J59" cm="1">
        <f t="array" ref="J59">INDEX(Low_Complexity!$A$2:$K$72,MATCH(1,INDEX((Analysis_Low!$A59=Low_Complexity!$A$2:$A$72)*(Analysis_Low!$B59=Low_Complexity!$B$2:$B$72),0,1),0),MATCH(Analysis_Low!J$47,Low_Complexity!$A$2:$K$2,0))</f>
        <v>5</v>
      </c>
      <c r="K59" cm="1">
        <f t="array" ref="K59">INDEX(Low_Complexity!$A$2:$K$72,MATCH(1,INDEX((Analysis_Low!$A59=Low_Complexity!$A$2:$A$72)*(Analysis_Low!$B59=Low_Complexity!$B$2:$B$72),0,1),0),MATCH(Analysis_Low!K$47,Low_Complexity!$A$2:$K$2,0))</f>
        <v>5</v>
      </c>
    </row>
    <row r="60" spans="1:11" x14ac:dyDescent="0.25">
      <c r="A60">
        <f t="shared" si="24"/>
        <v>13</v>
      </c>
      <c r="B60" t="s">
        <v>12</v>
      </c>
      <c r="C60" cm="1">
        <f t="array" ref="C60">INDEX(Low_Complexity!$A$2:$K$72,MATCH(1,INDEX((Analysis_Low!$A60=Low_Complexity!$A$2:$A$72)*(Analysis_Low!$B60=Low_Complexity!$B$2:$B$72),0,1),0),MATCH(Analysis_Low!C$47,Low_Complexity!$A$2:$K$2,0))</f>
        <v>4</v>
      </c>
      <c r="D60" cm="1">
        <f t="array" ref="D60">INDEX(Low_Complexity!$A$2:$K$72,MATCH(1,INDEX((Analysis_Low!$A60=Low_Complexity!$A$2:$A$72)*(Analysis_Low!$B60=Low_Complexity!$B$2:$B$72),0,1),0),MATCH(Analysis_Low!D$47,Low_Complexity!$A$2:$K$2,0))</f>
        <v>3</v>
      </c>
      <c r="E60" cm="1">
        <f t="array" ref="E60">INDEX(Low_Complexity!$A$2:$K$72,MATCH(1,INDEX((Analysis_Low!$A60=Low_Complexity!$A$2:$A$72)*(Analysis_Low!$B60=Low_Complexity!$B$2:$B$72),0,1),0),MATCH(Analysis_Low!E$47,Low_Complexity!$A$2:$K$2,0))</f>
        <v>3</v>
      </c>
      <c r="F60" cm="1">
        <f t="array" ref="F60">INDEX(Low_Complexity!$A$2:$K$72,MATCH(1,INDEX((Analysis_Low!$A60=Low_Complexity!$A$2:$A$72)*(Analysis_Low!$B60=Low_Complexity!$B$2:$B$72),0,1),0),MATCH(Analysis_Low!F$47,Low_Complexity!$A$2:$K$2,0))</f>
        <v>2</v>
      </c>
      <c r="G60" cm="1">
        <f t="array" ref="G60">INDEX(Low_Complexity!$A$2:$K$72,MATCH(1,INDEX((Analysis_Low!$A60=Low_Complexity!$A$2:$A$72)*(Analysis_Low!$B60=Low_Complexity!$B$2:$B$72),0,1),0),MATCH(Analysis_Low!G$47,Low_Complexity!$A$2:$K$2,0))</f>
        <v>3</v>
      </c>
      <c r="H60" cm="1">
        <f t="array" ref="H60">INDEX(Low_Complexity!$A$2:$K$72,MATCH(1,INDEX((Analysis_Low!$A60=Low_Complexity!$A$2:$A$72)*(Analysis_Low!$B60=Low_Complexity!$B$2:$B$72),0,1),0),MATCH(Analysis_Low!H$47,Low_Complexity!$A$2:$K$2,0))</f>
        <v>2</v>
      </c>
      <c r="I60" cm="1">
        <f t="array" ref="I60">INDEX(Low_Complexity!$A$2:$K$72,MATCH(1,INDEX((Analysis_Low!$A60=Low_Complexity!$A$2:$A$72)*(Analysis_Low!$B60=Low_Complexity!$B$2:$B$72),0,1),0),MATCH(Analysis_Low!I$47,Low_Complexity!$A$2:$K$2,0))</f>
        <v>5</v>
      </c>
      <c r="J60" cm="1">
        <f t="array" ref="J60">INDEX(Low_Complexity!$A$2:$K$72,MATCH(1,INDEX((Analysis_Low!$A60=Low_Complexity!$A$2:$A$72)*(Analysis_Low!$B60=Low_Complexity!$B$2:$B$72),0,1),0),MATCH(Analysis_Low!J$47,Low_Complexity!$A$2:$K$2,0))</f>
        <v>4</v>
      </c>
      <c r="K60" cm="1">
        <f t="array" ref="K60">INDEX(Low_Complexity!$A$2:$K$72,MATCH(1,INDEX((Analysis_Low!$A60=Low_Complexity!$A$2:$A$72)*(Analysis_Low!$B60=Low_Complexity!$B$2:$B$72),0,1),0),MATCH(Analysis_Low!K$47,Low_Complexity!$A$2:$K$2,0))</f>
        <v>10</v>
      </c>
    </row>
    <row r="61" spans="1:11" x14ac:dyDescent="0.25">
      <c r="A61">
        <f t="shared" si="24"/>
        <v>14</v>
      </c>
      <c r="B61" t="s">
        <v>12</v>
      </c>
      <c r="C61" cm="1">
        <f t="array" ref="C61">INDEX(Low_Complexity!$A$2:$K$72,MATCH(1,INDEX((Analysis_Low!$A61=Low_Complexity!$A$2:$A$72)*(Analysis_Low!$B61=Low_Complexity!$B$2:$B$72),0,1),0),MATCH(Analysis_Low!C$47,Low_Complexity!$A$2:$K$2,0))</f>
        <v>2</v>
      </c>
      <c r="D61" cm="1">
        <f t="array" ref="D61">INDEX(Low_Complexity!$A$2:$K$72,MATCH(1,INDEX((Analysis_Low!$A61=Low_Complexity!$A$2:$A$72)*(Analysis_Low!$B61=Low_Complexity!$B$2:$B$72),0,1),0),MATCH(Analysis_Low!D$47,Low_Complexity!$A$2:$K$2,0))</f>
        <v>5</v>
      </c>
      <c r="E61" cm="1">
        <f t="array" ref="E61">INDEX(Low_Complexity!$A$2:$K$72,MATCH(1,INDEX((Analysis_Low!$A61=Low_Complexity!$A$2:$A$72)*(Analysis_Low!$B61=Low_Complexity!$B$2:$B$72),0,1),0),MATCH(Analysis_Low!E$47,Low_Complexity!$A$2:$K$2,0))</f>
        <v>1</v>
      </c>
      <c r="F61" cm="1">
        <f t="array" ref="F61">INDEX(Low_Complexity!$A$2:$K$72,MATCH(1,INDEX((Analysis_Low!$A61=Low_Complexity!$A$2:$A$72)*(Analysis_Low!$B61=Low_Complexity!$B$2:$B$72),0,1),0),MATCH(Analysis_Low!F$47,Low_Complexity!$A$2:$K$2,0))</f>
        <v>1</v>
      </c>
      <c r="G61" cm="1">
        <f t="array" ref="G61">INDEX(Low_Complexity!$A$2:$K$72,MATCH(1,INDEX((Analysis_Low!$A61=Low_Complexity!$A$2:$A$72)*(Analysis_Low!$B61=Low_Complexity!$B$2:$B$72),0,1),0),MATCH(Analysis_Low!G$47,Low_Complexity!$A$2:$K$2,0))</f>
        <v>5</v>
      </c>
      <c r="H61" cm="1">
        <f t="array" ref="H61">INDEX(Low_Complexity!$A$2:$K$72,MATCH(1,INDEX((Analysis_Low!$A61=Low_Complexity!$A$2:$A$72)*(Analysis_Low!$B61=Low_Complexity!$B$2:$B$72),0,1),0),MATCH(Analysis_Low!H$47,Low_Complexity!$A$2:$K$2,0))</f>
        <v>1</v>
      </c>
      <c r="I61" cm="1">
        <f t="array" ref="I61">INDEX(Low_Complexity!$A$2:$K$72,MATCH(1,INDEX((Analysis_Low!$A61=Low_Complexity!$A$2:$A$72)*(Analysis_Low!$B61=Low_Complexity!$B$2:$B$72),0,1),0),MATCH(Analysis_Low!I$47,Low_Complexity!$A$2:$K$2,0))</f>
        <v>2</v>
      </c>
      <c r="J61" cm="1">
        <f t="array" ref="J61">INDEX(Low_Complexity!$A$2:$K$72,MATCH(1,INDEX((Analysis_Low!$A61=Low_Complexity!$A$2:$A$72)*(Analysis_Low!$B61=Low_Complexity!$B$2:$B$72),0,1),0),MATCH(Analysis_Low!J$47,Low_Complexity!$A$2:$K$2,0))</f>
        <v>5</v>
      </c>
      <c r="K61" cm="1">
        <f t="array" ref="K61">INDEX(Low_Complexity!$A$2:$K$72,MATCH(1,INDEX((Analysis_Low!$A61=Low_Complexity!$A$2:$A$72)*(Analysis_Low!$B61=Low_Complexity!$B$2:$B$72),0,1),0),MATCH(Analysis_Low!K$47,Low_Complexity!$A$2:$K$2,0))</f>
        <v>25</v>
      </c>
    </row>
    <row r="62" spans="1:11" x14ac:dyDescent="0.25">
      <c r="A62" s="2" t="s">
        <v>23</v>
      </c>
      <c r="B62" s="2"/>
      <c r="C62" s="2">
        <f>AVERAGE(C48:C61)</f>
        <v>3.7857142857142856</v>
      </c>
      <c r="D62" s="2">
        <f t="shared" ref="D62" si="25">AVERAGE(D48:D61)</f>
        <v>4.2857142857142856</v>
      </c>
      <c r="E62" s="2">
        <f t="shared" ref="E62" si="26">AVERAGE(E48:E61)</f>
        <v>2.6428571428571428</v>
      </c>
      <c r="F62" s="2">
        <f t="shared" ref="F62" si="27">AVERAGE(F48:F61)</f>
        <v>3.0714285714285716</v>
      </c>
      <c r="G62" s="2">
        <f t="shared" ref="G62" si="28">AVERAGE(G48:G61)</f>
        <v>3.2857142857142856</v>
      </c>
      <c r="H62" s="2">
        <f t="shared" ref="H62" si="29">AVERAGE(H48:H61)</f>
        <v>2</v>
      </c>
      <c r="I62" s="2">
        <f t="shared" ref="I62" si="30">AVERAGE(I48:I61)</f>
        <v>3.6428571428571428</v>
      </c>
      <c r="J62" s="2">
        <f t="shared" ref="J62" si="31">AVERAGE(J48:J61)</f>
        <v>3.5714285714285716</v>
      </c>
      <c r="K62" s="2">
        <f t="shared" ref="K62" si="32">AVERAGE(K48:K61)</f>
        <v>11.428571428571429</v>
      </c>
    </row>
    <row r="63" spans="1:11" x14ac:dyDescent="0.25">
      <c r="A63" t="s">
        <v>24</v>
      </c>
      <c r="C63">
        <f>MEDIAN(C48:C61)</f>
        <v>4</v>
      </c>
      <c r="D63">
        <f t="shared" ref="D63:K63" si="33">MEDIAN(D48:D61)</f>
        <v>4</v>
      </c>
      <c r="E63">
        <f t="shared" si="33"/>
        <v>2.5</v>
      </c>
      <c r="F63">
        <f t="shared" si="33"/>
        <v>3</v>
      </c>
      <c r="G63">
        <f t="shared" si="33"/>
        <v>3</v>
      </c>
      <c r="H63">
        <f t="shared" si="33"/>
        <v>2</v>
      </c>
      <c r="I63">
        <f t="shared" si="33"/>
        <v>4</v>
      </c>
      <c r="J63">
        <f t="shared" si="33"/>
        <v>4</v>
      </c>
      <c r="K63">
        <f t="shared" si="33"/>
        <v>10</v>
      </c>
    </row>
    <row r="66" spans="1:11" x14ac:dyDescent="0.25">
      <c r="A66" s="1" t="s">
        <v>22</v>
      </c>
      <c r="B66" s="1" t="s">
        <v>0</v>
      </c>
      <c r="C66" s="1" t="s">
        <v>1</v>
      </c>
      <c r="D66" s="1" t="s">
        <v>37</v>
      </c>
      <c r="E66" s="1" t="s">
        <v>3</v>
      </c>
      <c r="F66" s="1" t="s">
        <v>38</v>
      </c>
      <c r="G66" s="1" t="s">
        <v>5</v>
      </c>
      <c r="H66" s="1" t="s">
        <v>41</v>
      </c>
      <c r="I66" s="1" t="s">
        <v>42</v>
      </c>
      <c r="J66" s="13" t="s">
        <v>39</v>
      </c>
      <c r="K66" s="1" t="s">
        <v>10</v>
      </c>
    </row>
    <row r="67" spans="1:11" x14ac:dyDescent="0.25">
      <c r="A67">
        <v>1</v>
      </c>
      <c r="B67" t="s">
        <v>15</v>
      </c>
      <c r="C67" cm="1">
        <f t="array" ref="C67">INDEX(Low_Complexity!$A$2:$K$72,MATCH(1,INDEX((Analysis_Low!$A67=Low_Complexity!$A$2:$A$72)*(Analysis_Low!$B67=Low_Complexity!$B$2:$B$72),0,1),0),MATCH(Analysis_Low!C$47,Low_Complexity!$A$2:$K$2,0))</f>
        <v>4</v>
      </c>
      <c r="D67" cm="1">
        <f t="array" ref="D67">INDEX(Low_Complexity!$A$2:$K$72,MATCH(1,INDEX((Analysis_Low!$A67=Low_Complexity!$A$2:$A$72)*(Analysis_Low!$B67=Low_Complexity!$B$2:$B$72),0,1),0),MATCH(Analysis_Low!D$47,Low_Complexity!$A$2:$K$2,0))</f>
        <v>4</v>
      </c>
      <c r="E67" cm="1">
        <f t="array" ref="E67">INDEX(Low_Complexity!$A$2:$K$72,MATCH(1,INDEX((Analysis_Low!$A67=Low_Complexity!$A$2:$A$72)*(Analysis_Low!$B67=Low_Complexity!$B$2:$B$72),0,1),0),MATCH(Analysis_Low!E$47,Low_Complexity!$A$2:$K$2,0))</f>
        <v>3</v>
      </c>
      <c r="F67" cm="1">
        <f t="array" ref="F67">INDEX(Low_Complexity!$A$2:$K$72,MATCH(1,INDEX((Analysis_Low!$A67=Low_Complexity!$A$2:$A$72)*(Analysis_Low!$B67=Low_Complexity!$B$2:$B$72),0,1),0),MATCH(Analysis_Low!F$47,Low_Complexity!$A$2:$K$2,0))</f>
        <v>5</v>
      </c>
      <c r="G67" cm="1">
        <f t="array" ref="G67">INDEX(Low_Complexity!$A$2:$K$72,MATCH(1,INDEX((Analysis_Low!$A67=Low_Complexity!$A$2:$A$72)*(Analysis_Low!$B67=Low_Complexity!$B$2:$B$72),0,1),0),MATCH(Analysis_Low!G$47,Low_Complexity!$A$2:$K$2,0))</f>
        <v>5</v>
      </c>
      <c r="H67" cm="1">
        <f t="array" ref="H67">INDEX(Low_Complexity!$A$2:$K$72,MATCH(1,INDEX((Analysis_Low!$A67=Low_Complexity!$A$2:$A$72)*(Analysis_Low!$B67=Low_Complexity!$B$2:$B$72),0,1),0),MATCH(Analysis_Low!H$47,Low_Complexity!$A$2:$K$2,0))</f>
        <v>4</v>
      </c>
      <c r="I67" cm="1">
        <f t="array" ref="I67">INDEX(Low_Complexity!$A$2:$K$72,MATCH(1,INDEX((Analysis_Low!$A67=Low_Complexity!$A$2:$A$72)*(Analysis_Low!$B67=Low_Complexity!$B$2:$B$72),0,1),0),MATCH(Analysis_Low!I$47,Low_Complexity!$A$2:$K$2,0))</f>
        <v>3</v>
      </c>
      <c r="J67" cm="1">
        <f t="array" ref="J67">INDEX(Low_Complexity!$A$2:$K$72,MATCH(1,INDEX((Analysis_Low!$A67=Low_Complexity!$A$2:$A$72)*(Analysis_Low!$B67=Low_Complexity!$B$2:$B$72),0,1),0),MATCH(Analysis_Low!J$47,Low_Complexity!$A$2:$K$2,0))</f>
        <v>4</v>
      </c>
      <c r="K67" cm="1">
        <f t="array" ref="K67">INDEX(Low_Complexity!$A$2:$K$72,MATCH(1,INDEX((Analysis_Low!$A67=Low_Complexity!$A$2:$A$72)*(Analysis_Low!$B67=Low_Complexity!$B$2:$B$72),0,1),0),MATCH(Analysis_Low!K$47,Low_Complexity!$A$2:$K$2,0))</f>
        <v>35</v>
      </c>
    </row>
    <row r="68" spans="1:11" x14ac:dyDescent="0.25">
      <c r="A68">
        <f>A67+1</f>
        <v>2</v>
      </c>
      <c r="B68" t="s">
        <v>15</v>
      </c>
      <c r="C68" cm="1">
        <f t="array" ref="C68">INDEX(Low_Complexity!$A$2:$K$72,MATCH(1,INDEX((Analysis_Low!$A68=Low_Complexity!$A$2:$A$72)*(Analysis_Low!$B68=Low_Complexity!$B$2:$B$72),0,1),0),MATCH(Analysis_Low!C$47,Low_Complexity!$A$2:$K$2,0))</f>
        <v>4</v>
      </c>
      <c r="D68" cm="1">
        <f t="array" ref="D68">INDEX(Low_Complexity!$A$2:$K$72,MATCH(1,INDEX((Analysis_Low!$A68=Low_Complexity!$A$2:$A$72)*(Analysis_Low!$B68=Low_Complexity!$B$2:$B$72),0,1),0),MATCH(Analysis_Low!D$47,Low_Complexity!$A$2:$K$2,0))</f>
        <v>3</v>
      </c>
      <c r="E68" cm="1">
        <f t="array" ref="E68">INDEX(Low_Complexity!$A$2:$K$72,MATCH(1,INDEX((Analysis_Low!$A68=Low_Complexity!$A$2:$A$72)*(Analysis_Low!$B68=Low_Complexity!$B$2:$B$72),0,1),0),MATCH(Analysis_Low!E$47,Low_Complexity!$A$2:$K$2,0))</f>
        <v>4</v>
      </c>
      <c r="F68" cm="1">
        <f t="array" ref="F68">INDEX(Low_Complexity!$A$2:$K$72,MATCH(1,INDEX((Analysis_Low!$A68=Low_Complexity!$A$2:$A$72)*(Analysis_Low!$B68=Low_Complexity!$B$2:$B$72),0,1),0),MATCH(Analysis_Low!F$47,Low_Complexity!$A$2:$K$2,0))</f>
        <v>5</v>
      </c>
      <c r="G68" cm="1">
        <f t="array" ref="G68">INDEX(Low_Complexity!$A$2:$K$72,MATCH(1,INDEX((Analysis_Low!$A68=Low_Complexity!$A$2:$A$72)*(Analysis_Low!$B68=Low_Complexity!$B$2:$B$72),0,1),0),MATCH(Analysis_Low!G$47,Low_Complexity!$A$2:$K$2,0))</f>
        <v>4</v>
      </c>
      <c r="H68" cm="1">
        <f t="array" ref="H68">INDEX(Low_Complexity!$A$2:$K$72,MATCH(1,INDEX((Analysis_Low!$A68=Low_Complexity!$A$2:$A$72)*(Analysis_Low!$B68=Low_Complexity!$B$2:$B$72),0,1),0),MATCH(Analysis_Low!H$47,Low_Complexity!$A$2:$K$2,0))</f>
        <v>5</v>
      </c>
      <c r="I68" cm="1">
        <f t="array" ref="I68">INDEX(Low_Complexity!$A$2:$K$72,MATCH(1,INDEX((Analysis_Low!$A68=Low_Complexity!$A$2:$A$72)*(Analysis_Low!$B68=Low_Complexity!$B$2:$B$72),0,1),0),MATCH(Analysis_Low!I$47,Low_Complexity!$A$2:$K$2,0))</f>
        <v>1</v>
      </c>
      <c r="J68" cm="1">
        <f t="array" ref="J68">INDEX(Low_Complexity!$A$2:$K$72,MATCH(1,INDEX((Analysis_Low!$A68=Low_Complexity!$A$2:$A$72)*(Analysis_Low!$B68=Low_Complexity!$B$2:$B$72),0,1),0),MATCH(Analysis_Low!J$47,Low_Complexity!$A$2:$K$2,0))</f>
        <v>4</v>
      </c>
      <c r="K68" cm="1">
        <f t="array" ref="K68">INDEX(Low_Complexity!$A$2:$K$72,MATCH(1,INDEX((Analysis_Low!$A68=Low_Complexity!$A$2:$A$72)*(Analysis_Low!$B68=Low_Complexity!$B$2:$B$72),0,1),0),MATCH(Analysis_Low!K$47,Low_Complexity!$A$2:$K$2,0))</f>
        <v>20</v>
      </c>
    </row>
    <row r="69" spans="1:11" x14ac:dyDescent="0.25">
      <c r="A69">
        <f t="shared" ref="A69:A80" si="34">A68+1</f>
        <v>3</v>
      </c>
      <c r="B69" t="s">
        <v>15</v>
      </c>
      <c r="C69" cm="1">
        <f t="array" ref="C69">INDEX(Low_Complexity!$A$2:$K$72,MATCH(1,INDEX((Analysis_Low!$A69=Low_Complexity!$A$2:$A$72)*(Analysis_Low!$B69=Low_Complexity!$B$2:$B$72),0,1),0),MATCH(Analysis_Low!C$47,Low_Complexity!$A$2:$K$2,0))</f>
        <v>1</v>
      </c>
      <c r="D69" cm="1">
        <f t="array" ref="D69">INDEX(Low_Complexity!$A$2:$K$72,MATCH(1,INDEX((Analysis_Low!$A69=Low_Complexity!$A$2:$A$72)*(Analysis_Low!$B69=Low_Complexity!$B$2:$B$72),0,1),0),MATCH(Analysis_Low!D$47,Low_Complexity!$A$2:$K$2,0))</f>
        <v>2</v>
      </c>
      <c r="E69" cm="1">
        <f t="array" ref="E69">INDEX(Low_Complexity!$A$2:$K$72,MATCH(1,INDEX((Analysis_Low!$A69=Low_Complexity!$A$2:$A$72)*(Analysis_Low!$B69=Low_Complexity!$B$2:$B$72),0,1),0),MATCH(Analysis_Low!E$47,Low_Complexity!$A$2:$K$2,0))</f>
        <v>2</v>
      </c>
      <c r="F69" cm="1">
        <f t="array" ref="F69">INDEX(Low_Complexity!$A$2:$K$72,MATCH(1,INDEX((Analysis_Low!$A69=Low_Complexity!$A$2:$A$72)*(Analysis_Low!$B69=Low_Complexity!$B$2:$B$72),0,1),0),MATCH(Analysis_Low!F$47,Low_Complexity!$A$2:$K$2,0))</f>
        <v>3</v>
      </c>
      <c r="G69" cm="1">
        <f t="array" ref="G69">INDEX(Low_Complexity!$A$2:$K$72,MATCH(1,INDEX((Analysis_Low!$A69=Low_Complexity!$A$2:$A$72)*(Analysis_Low!$B69=Low_Complexity!$B$2:$B$72),0,1),0),MATCH(Analysis_Low!G$47,Low_Complexity!$A$2:$K$2,0))</f>
        <v>3</v>
      </c>
      <c r="H69" cm="1">
        <f t="array" ref="H69">INDEX(Low_Complexity!$A$2:$K$72,MATCH(1,INDEX((Analysis_Low!$A69=Low_Complexity!$A$2:$A$72)*(Analysis_Low!$B69=Low_Complexity!$B$2:$B$72),0,1),0),MATCH(Analysis_Low!H$47,Low_Complexity!$A$2:$K$2,0))</f>
        <v>4</v>
      </c>
      <c r="I69" cm="1">
        <f t="array" ref="I69">INDEX(Low_Complexity!$A$2:$K$72,MATCH(1,INDEX((Analysis_Low!$A69=Low_Complexity!$A$2:$A$72)*(Analysis_Low!$B69=Low_Complexity!$B$2:$B$72),0,1),0),MATCH(Analysis_Low!I$47,Low_Complexity!$A$2:$K$2,0))</f>
        <v>2</v>
      </c>
      <c r="J69" cm="1">
        <f t="array" ref="J69">INDEX(Low_Complexity!$A$2:$K$72,MATCH(1,INDEX((Analysis_Low!$A69=Low_Complexity!$A$2:$A$72)*(Analysis_Low!$B69=Low_Complexity!$B$2:$B$72),0,1),0),MATCH(Analysis_Low!J$47,Low_Complexity!$A$2:$K$2,0))</f>
        <v>3</v>
      </c>
      <c r="K69" cm="1">
        <f t="array" ref="K69">INDEX(Low_Complexity!$A$2:$K$72,MATCH(1,INDEX((Analysis_Low!$A69=Low_Complexity!$A$2:$A$72)*(Analysis_Low!$B69=Low_Complexity!$B$2:$B$72),0,1),0),MATCH(Analysis_Low!K$47,Low_Complexity!$A$2:$K$2,0))</f>
        <v>25</v>
      </c>
    </row>
    <row r="70" spans="1:11" x14ac:dyDescent="0.25">
      <c r="A70">
        <f t="shared" si="34"/>
        <v>4</v>
      </c>
      <c r="B70" t="s">
        <v>15</v>
      </c>
      <c r="C70" cm="1">
        <f t="array" ref="C70">INDEX(Low_Complexity!$A$2:$K$72,MATCH(1,INDEX((Analysis_Low!$A70=Low_Complexity!$A$2:$A$72)*(Analysis_Low!$B70=Low_Complexity!$B$2:$B$72),0,1),0),MATCH(Analysis_Low!C$47,Low_Complexity!$A$2:$K$2,0))</f>
        <v>3</v>
      </c>
      <c r="D70" cm="1">
        <f t="array" ref="D70">INDEX(Low_Complexity!$A$2:$K$72,MATCH(1,INDEX((Analysis_Low!$A70=Low_Complexity!$A$2:$A$72)*(Analysis_Low!$B70=Low_Complexity!$B$2:$B$72),0,1),0),MATCH(Analysis_Low!D$47,Low_Complexity!$A$2:$K$2,0))</f>
        <v>3</v>
      </c>
      <c r="E70" cm="1">
        <f t="array" ref="E70">INDEX(Low_Complexity!$A$2:$K$72,MATCH(1,INDEX((Analysis_Low!$A70=Low_Complexity!$A$2:$A$72)*(Analysis_Low!$B70=Low_Complexity!$B$2:$B$72),0,1),0),MATCH(Analysis_Low!E$47,Low_Complexity!$A$2:$K$2,0))</f>
        <v>2</v>
      </c>
      <c r="F70" cm="1">
        <f t="array" ref="F70">INDEX(Low_Complexity!$A$2:$K$72,MATCH(1,INDEX((Analysis_Low!$A70=Low_Complexity!$A$2:$A$72)*(Analysis_Low!$B70=Low_Complexity!$B$2:$B$72),0,1),0),MATCH(Analysis_Low!F$47,Low_Complexity!$A$2:$K$2,0))</f>
        <v>5</v>
      </c>
      <c r="G70" cm="1">
        <f t="array" ref="G70">INDEX(Low_Complexity!$A$2:$K$72,MATCH(1,INDEX((Analysis_Low!$A70=Low_Complexity!$A$2:$A$72)*(Analysis_Low!$B70=Low_Complexity!$B$2:$B$72),0,1),0),MATCH(Analysis_Low!G$47,Low_Complexity!$A$2:$K$2,0))</f>
        <v>3</v>
      </c>
      <c r="H70" cm="1">
        <f t="array" ref="H70">INDEX(Low_Complexity!$A$2:$K$72,MATCH(1,INDEX((Analysis_Low!$A70=Low_Complexity!$A$2:$A$72)*(Analysis_Low!$B70=Low_Complexity!$B$2:$B$72),0,1),0),MATCH(Analysis_Low!H$47,Low_Complexity!$A$2:$K$2,0))</f>
        <v>5</v>
      </c>
      <c r="I70" cm="1">
        <f t="array" ref="I70">INDEX(Low_Complexity!$A$2:$K$72,MATCH(1,INDEX((Analysis_Low!$A70=Low_Complexity!$A$2:$A$72)*(Analysis_Low!$B70=Low_Complexity!$B$2:$B$72),0,1),0),MATCH(Analysis_Low!I$47,Low_Complexity!$A$2:$K$2,0))</f>
        <v>3</v>
      </c>
      <c r="J70" cm="1">
        <f t="array" ref="J70">INDEX(Low_Complexity!$A$2:$K$72,MATCH(1,INDEX((Analysis_Low!$A70=Low_Complexity!$A$2:$A$72)*(Analysis_Low!$B70=Low_Complexity!$B$2:$B$72),0,1),0),MATCH(Analysis_Low!J$47,Low_Complexity!$A$2:$K$2,0))</f>
        <v>4</v>
      </c>
      <c r="K70" cm="1">
        <f t="array" ref="K70">INDEX(Low_Complexity!$A$2:$K$72,MATCH(1,INDEX((Analysis_Low!$A70=Low_Complexity!$A$2:$A$72)*(Analysis_Low!$B70=Low_Complexity!$B$2:$B$72),0,1),0),MATCH(Analysis_Low!K$47,Low_Complexity!$A$2:$K$2,0))</f>
        <v>20</v>
      </c>
    </row>
    <row r="71" spans="1:11" x14ac:dyDescent="0.25">
      <c r="A71">
        <f t="shared" si="34"/>
        <v>5</v>
      </c>
      <c r="B71" t="s">
        <v>15</v>
      </c>
      <c r="C71" cm="1">
        <f t="array" ref="C71">INDEX(Low_Complexity!$A$2:$K$72,MATCH(1,INDEX((Analysis_Low!$A71=Low_Complexity!$A$2:$A$72)*(Analysis_Low!$B71=Low_Complexity!$B$2:$B$72),0,1),0),MATCH(Analysis_Low!C$47,Low_Complexity!$A$2:$K$2,0))</f>
        <v>4</v>
      </c>
      <c r="D71" cm="1">
        <f t="array" ref="D71">INDEX(Low_Complexity!$A$2:$K$72,MATCH(1,INDEX((Analysis_Low!$A71=Low_Complexity!$A$2:$A$72)*(Analysis_Low!$B71=Low_Complexity!$B$2:$B$72),0,1),0),MATCH(Analysis_Low!D$47,Low_Complexity!$A$2:$K$2,0))</f>
        <v>4</v>
      </c>
      <c r="E71" cm="1">
        <f t="array" ref="E71">INDEX(Low_Complexity!$A$2:$K$72,MATCH(1,INDEX((Analysis_Low!$A71=Low_Complexity!$A$2:$A$72)*(Analysis_Low!$B71=Low_Complexity!$B$2:$B$72),0,1),0),MATCH(Analysis_Low!E$47,Low_Complexity!$A$2:$K$2,0))</f>
        <v>4</v>
      </c>
      <c r="F71" cm="1">
        <f t="array" ref="F71">INDEX(Low_Complexity!$A$2:$K$72,MATCH(1,INDEX((Analysis_Low!$A71=Low_Complexity!$A$2:$A$72)*(Analysis_Low!$B71=Low_Complexity!$B$2:$B$72),0,1),0),MATCH(Analysis_Low!F$47,Low_Complexity!$A$2:$K$2,0))</f>
        <v>3</v>
      </c>
      <c r="G71" cm="1">
        <f t="array" ref="G71">INDEX(Low_Complexity!$A$2:$K$72,MATCH(1,INDEX((Analysis_Low!$A71=Low_Complexity!$A$2:$A$72)*(Analysis_Low!$B71=Low_Complexity!$B$2:$B$72),0,1),0),MATCH(Analysis_Low!G$47,Low_Complexity!$A$2:$K$2,0))</f>
        <v>3</v>
      </c>
      <c r="H71" cm="1">
        <f t="array" ref="H71">INDEX(Low_Complexity!$A$2:$K$72,MATCH(1,INDEX((Analysis_Low!$A71=Low_Complexity!$A$2:$A$72)*(Analysis_Low!$B71=Low_Complexity!$B$2:$B$72),0,1),0),MATCH(Analysis_Low!H$47,Low_Complexity!$A$2:$K$2,0))</f>
        <v>4</v>
      </c>
      <c r="I71" cm="1">
        <f t="array" ref="I71">INDEX(Low_Complexity!$A$2:$K$72,MATCH(1,INDEX((Analysis_Low!$A71=Low_Complexity!$A$2:$A$72)*(Analysis_Low!$B71=Low_Complexity!$B$2:$B$72),0,1),0),MATCH(Analysis_Low!I$47,Low_Complexity!$A$2:$K$2,0))</f>
        <v>2</v>
      </c>
      <c r="J71" cm="1">
        <f t="array" ref="J71">INDEX(Low_Complexity!$A$2:$K$72,MATCH(1,INDEX((Analysis_Low!$A71=Low_Complexity!$A$2:$A$72)*(Analysis_Low!$B71=Low_Complexity!$B$2:$B$72),0,1),0),MATCH(Analysis_Low!J$47,Low_Complexity!$A$2:$K$2,0))</f>
        <v>3</v>
      </c>
      <c r="K71" cm="1">
        <f t="array" ref="K71">INDEX(Low_Complexity!$A$2:$K$72,MATCH(1,INDEX((Analysis_Low!$A71=Low_Complexity!$A$2:$A$72)*(Analysis_Low!$B71=Low_Complexity!$B$2:$B$72),0,1),0),MATCH(Analysis_Low!K$47,Low_Complexity!$A$2:$K$2,0))</f>
        <v>25</v>
      </c>
    </row>
    <row r="72" spans="1:11" x14ac:dyDescent="0.25">
      <c r="A72">
        <f t="shared" si="34"/>
        <v>6</v>
      </c>
      <c r="B72" t="s">
        <v>15</v>
      </c>
      <c r="C72" cm="1">
        <f t="array" ref="C72">INDEX(Low_Complexity!$A$2:$K$72,MATCH(1,INDEX((Analysis_Low!$A72=Low_Complexity!$A$2:$A$72)*(Analysis_Low!$B72=Low_Complexity!$B$2:$B$72),0,1),0),MATCH(Analysis_Low!C$47,Low_Complexity!$A$2:$K$2,0))</f>
        <v>2</v>
      </c>
      <c r="D72" cm="1">
        <f t="array" ref="D72">INDEX(Low_Complexity!$A$2:$K$72,MATCH(1,INDEX((Analysis_Low!$A72=Low_Complexity!$A$2:$A$72)*(Analysis_Low!$B72=Low_Complexity!$B$2:$B$72),0,1),0),MATCH(Analysis_Low!D$47,Low_Complexity!$A$2:$K$2,0))</f>
        <v>5</v>
      </c>
      <c r="E72" cm="1">
        <f t="array" ref="E72">INDEX(Low_Complexity!$A$2:$K$72,MATCH(1,INDEX((Analysis_Low!$A72=Low_Complexity!$A$2:$A$72)*(Analysis_Low!$B72=Low_Complexity!$B$2:$B$72),0,1),0),MATCH(Analysis_Low!E$47,Low_Complexity!$A$2:$K$2,0))</f>
        <v>2</v>
      </c>
      <c r="F72" cm="1">
        <f t="array" ref="F72">INDEX(Low_Complexity!$A$2:$K$72,MATCH(1,INDEX((Analysis_Low!$A72=Low_Complexity!$A$2:$A$72)*(Analysis_Low!$B72=Low_Complexity!$B$2:$B$72),0,1),0),MATCH(Analysis_Low!F$47,Low_Complexity!$A$2:$K$2,0))</f>
        <v>3</v>
      </c>
      <c r="G72" cm="1">
        <f t="array" ref="G72">INDEX(Low_Complexity!$A$2:$K$72,MATCH(1,INDEX((Analysis_Low!$A72=Low_Complexity!$A$2:$A$72)*(Analysis_Low!$B72=Low_Complexity!$B$2:$B$72),0,1),0),MATCH(Analysis_Low!G$47,Low_Complexity!$A$2:$K$2,0))</f>
        <v>3</v>
      </c>
      <c r="H72" cm="1">
        <f t="array" ref="H72">INDEX(Low_Complexity!$A$2:$K$72,MATCH(1,INDEX((Analysis_Low!$A72=Low_Complexity!$A$2:$A$72)*(Analysis_Low!$B72=Low_Complexity!$B$2:$B$72),0,1),0),MATCH(Analysis_Low!H$47,Low_Complexity!$A$2:$K$2,0))</f>
        <v>2</v>
      </c>
      <c r="I72" cm="1">
        <f t="array" ref="I72">INDEX(Low_Complexity!$A$2:$K$72,MATCH(1,INDEX((Analysis_Low!$A72=Low_Complexity!$A$2:$A$72)*(Analysis_Low!$B72=Low_Complexity!$B$2:$B$72),0,1),0),MATCH(Analysis_Low!I$47,Low_Complexity!$A$2:$K$2,0))</f>
        <v>1</v>
      </c>
      <c r="J72" cm="1">
        <f t="array" ref="J72">INDEX(Low_Complexity!$A$2:$K$72,MATCH(1,INDEX((Analysis_Low!$A72=Low_Complexity!$A$2:$A$72)*(Analysis_Low!$B72=Low_Complexity!$B$2:$B$72),0,1),0),MATCH(Analysis_Low!J$47,Low_Complexity!$A$2:$K$2,0))</f>
        <v>2</v>
      </c>
      <c r="K72" cm="1">
        <f t="array" ref="K72">INDEX(Low_Complexity!$A$2:$K$72,MATCH(1,INDEX((Analysis_Low!$A72=Low_Complexity!$A$2:$A$72)*(Analysis_Low!$B72=Low_Complexity!$B$2:$B$72),0,1),0),MATCH(Analysis_Low!K$47,Low_Complexity!$A$2:$K$2,0))</f>
        <v>0</v>
      </c>
    </row>
    <row r="73" spans="1:11" x14ac:dyDescent="0.25">
      <c r="A73">
        <f t="shared" si="34"/>
        <v>7</v>
      </c>
      <c r="B73" t="s">
        <v>15</v>
      </c>
      <c r="C73" cm="1">
        <f t="array" ref="C73">INDEX(Low_Complexity!$A$2:$K$72,MATCH(1,INDEX((Analysis_Low!$A73=Low_Complexity!$A$2:$A$72)*(Analysis_Low!$B73=Low_Complexity!$B$2:$B$72),0,1),0),MATCH(Analysis_Low!C$47,Low_Complexity!$A$2:$K$2,0))</f>
        <v>2</v>
      </c>
      <c r="D73" cm="1">
        <f t="array" ref="D73">INDEX(Low_Complexity!$A$2:$K$72,MATCH(1,INDEX((Analysis_Low!$A73=Low_Complexity!$A$2:$A$72)*(Analysis_Low!$B73=Low_Complexity!$B$2:$B$72),0,1),0),MATCH(Analysis_Low!D$47,Low_Complexity!$A$2:$K$2,0))</f>
        <v>5</v>
      </c>
      <c r="E73" cm="1">
        <f t="array" ref="E73">INDEX(Low_Complexity!$A$2:$K$72,MATCH(1,INDEX((Analysis_Low!$A73=Low_Complexity!$A$2:$A$72)*(Analysis_Low!$B73=Low_Complexity!$B$2:$B$72),0,1),0),MATCH(Analysis_Low!E$47,Low_Complexity!$A$2:$K$2,0))</f>
        <v>1</v>
      </c>
      <c r="F73" cm="1">
        <f t="array" ref="F73">INDEX(Low_Complexity!$A$2:$K$72,MATCH(1,INDEX((Analysis_Low!$A73=Low_Complexity!$A$2:$A$72)*(Analysis_Low!$B73=Low_Complexity!$B$2:$B$72),0,1),0),MATCH(Analysis_Low!F$47,Low_Complexity!$A$2:$K$2,0))</f>
        <v>5</v>
      </c>
      <c r="G73" cm="1">
        <f t="array" ref="G73">INDEX(Low_Complexity!$A$2:$K$72,MATCH(1,INDEX((Analysis_Low!$A73=Low_Complexity!$A$2:$A$72)*(Analysis_Low!$B73=Low_Complexity!$B$2:$B$72),0,1),0),MATCH(Analysis_Low!G$47,Low_Complexity!$A$2:$K$2,0))</f>
        <v>1</v>
      </c>
      <c r="H73" cm="1">
        <f t="array" ref="H73">INDEX(Low_Complexity!$A$2:$K$72,MATCH(1,INDEX((Analysis_Low!$A73=Low_Complexity!$A$2:$A$72)*(Analysis_Low!$B73=Low_Complexity!$B$2:$B$72),0,1),0),MATCH(Analysis_Low!H$47,Low_Complexity!$A$2:$K$2,0))</f>
        <v>1</v>
      </c>
      <c r="I73" cm="1">
        <f t="array" ref="I73">INDEX(Low_Complexity!$A$2:$K$72,MATCH(1,INDEX((Analysis_Low!$A73=Low_Complexity!$A$2:$A$72)*(Analysis_Low!$B73=Low_Complexity!$B$2:$B$72),0,1),0),MATCH(Analysis_Low!I$47,Low_Complexity!$A$2:$K$2,0))</f>
        <v>2</v>
      </c>
      <c r="J73" cm="1">
        <f t="array" ref="J73">INDEX(Low_Complexity!$A$2:$K$72,MATCH(1,INDEX((Analysis_Low!$A73=Low_Complexity!$A$2:$A$72)*(Analysis_Low!$B73=Low_Complexity!$B$2:$B$72),0,1),0),MATCH(Analysis_Low!J$47,Low_Complexity!$A$2:$K$2,0))</f>
        <v>2</v>
      </c>
      <c r="K73" cm="1">
        <f t="array" ref="K73">INDEX(Low_Complexity!$A$2:$K$72,MATCH(1,INDEX((Analysis_Low!$A73=Low_Complexity!$A$2:$A$72)*(Analysis_Low!$B73=Low_Complexity!$B$2:$B$72),0,1),0),MATCH(Analysis_Low!K$47,Low_Complexity!$A$2:$K$2,0))</f>
        <v>5</v>
      </c>
    </row>
    <row r="74" spans="1:11" x14ac:dyDescent="0.25">
      <c r="A74">
        <f t="shared" si="34"/>
        <v>8</v>
      </c>
      <c r="B74" t="s">
        <v>15</v>
      </c>
      <c r="C74" cm="1">
        <f t="array" ref="C74">INDEX(Low_Complexity!$A$2:$K$72,MATCH(1,INDEX((Analysis_Low!$A74=Low_Complexity!$A$2:$A$72)*(Analysis_Low!$B74=Low_Complexity!$B$2:$B$72),0,1),0),MATCH(Analysis_Low!C$47,Low_Complexity!$A$2:$K$2,0))</f>
        <v>4</v>
      </c>
      <c r="D74" cm="1">
        <f t="array" ref="D74">INDEX(Low_Complexity!$A$2:$K$72,MATCH(1,INDEX((Analysis_Low!$A74=Low_Complexity!$A$2:$A$72)*(Analysis_Low!$B74=Low_Complexity!$B$2:$B$72),0,1),0),MATCH(Analysis_Low!D$47,Low_Complexity!$A$2:$K$2,0))</f>
        <v>5</v>
      </c>
      <c r="E74" cm="1">
        <f t="array" ref="E74">INDEX(Low_Complexity!$A$2:$K$72,MATCH(1,INDEX((Analysis_Low!$A74=Low_Complexity!$A$2:$A$72)*(Analysis_Low!$B74=Low_Complexity!$B$2:$B$72),0,1),0),MATCH(Analysis_Low!E$47,Low_Complexity!$A$2:$K$2,0))</f>
        <v>3</v>
      </c>
      <c r="F74" cm="1">
        <f t="array" ref="F74">INDEX(Low_Complexity!$A$2:$K$72,MATCH(1,INDEX((Analysis_Low!$A74=Low_Complexity!$A$2:$A$72)*(Analysis_Low!$B74=Low_Complexity!$B$2:$B$72),0,1),0),MATCH(Analysis_Low!F$47,Low_Complexity!$A$2:$K$2,0))</f>
        <v>4</v>
      </c>
      <c r="G74" cm="1">
        <f t="array" ref="G74">INDEX(Low_Complexity!$A$2:$K$72,MATCH(1,INDEX((Analysis_Low!$A74=Low_Complexity!$A$2:$A$72)*(Analysis_Low!$B74=Low_Complexity!$B$2:$B$72),0,1),0),MATCH(Analysis_Low!G$47,Low_Complexity!$A$2:$K$2,0))</f>
        <v>5</v>
      </c>
      <c r="H74" cm="1">
        <f t="array" ref="H74">INDEX(Low_Complexity!$A$2:$K$72,MATCH(1,INDEX((Analysis_Low!$A74=Low_Complexity!$A$2:$A$72)*(Analysis_Low!$B74=Low_Complexity!$B$2:$B$72),0,1),0),MATCH(Analysis_Low!H$47,Low_Complexity!$A$2:$K$2,0))</f>
        <v>5</v>
      </c>
      <c r="I74" cm="1">
        <f t="array" ref="I74">INDEX(Low_Complexity!$A$2:$K$72,MATCH(1,INDEX((Analysis_Low!$A74=Low_Complexity!$A$2:$A$72)*(Analysis_Low!$B74=Low_Complexity!$B$2:$B$72),0,1),0),MATCH(Analysis_Low!I$47,Low_Complexity!$A$2:$K$2,0))</f>
        <v>4</v>
      </c>
      <c r="J74" cm="1">
        <f t="array" ref="J74">INDEX(Low_Complexity!$A$2:$K$72,MATCH(1,INDEX((Analysis_Low!$A74=Low_Complexity!$A$2:$A$72)*(Analysis_Low!$B74=Low_Complexity!$B$2:$B$72),0,1),0),MATCH(Analysis_Low!J$47,Low_Complexity!$A$2:$K$2,0))</f>
        <v>5</v>
      </c>
      <c r="K74" cm="1">
        <f t="array" ref="K74">INDEX(Low_Complexity!$A$2:$K$72,MATCH(1,INDEX((Analysis_Low!$A74=Low_Complexity!$A$2:$A$72)*(Analysis_Low!$B74=Low_Complexity!$B$2:$B$72),0,1),0),MATCH(Analysis_Low!K$47,Low_Complexity!$A$2:$K$2,0))</f>
        <v>40</v>
      </c>
    </row>
    <row r="75" spans="1:11" x14ac:dyDescent="0.25">
      <c r="A75">
        <f t="shared" si="34"/>
        <v>9</v>
      </c>
      <c r="B75" t="s">
        <v>15</v>
      </c>
      <c r="C75" cm="1">
        <f t="array" ref="C75">INDEX(Low_Complexity!$A$2:$K$72,MATCH(1,INDEX((Analysis_Low!$A75=Low_Complexity!$A$2:$A$72)*(Analysis_Low!$B75=Low_Complexity!$B$2:$B$72),0,1),0),MATCH(Analysis_Low!C$47,Low_Complexity!$A$2:$K$2,0))</f>
        <v>1</v>
      </c>
      <c r="D75" cm="1">
        <f t="array" ref="D75">INDEX(Low_Complexity!$A$2:$K$72,MATCH(1,INDEX((Analysis_Low!$A75=Low_Complexity!$A$2:$A$72)*(Analysis_Low!$B75=Low_Complexity!$B$2:$B$72),0,1),0),MATCH(Analysis_Low!D$47,Low_Complexity!$A$2:$K$2,0))</f>
        <v>3</v>
      </c>
      <c r="E75" cm="1">
        <f t="array" ref="E75">INDEX(Low_Complexity!$A$2:$K$72,MATCH(1,INDEX((Analysis_Low!$A75=Low_Complexity!$A$2:$A$72)*(Analysis_Low!$B75=Low_Complexity!$B$2:$B$72),0,1),0),MATCH(Analysis_Low!E$47,Low_Complexity!$A$2:$K$2,0))</f>
        <v>2</v>
      </c>
      <c r="F75" cm="1">
        <f t="array" ref="F75">INDEX(Low_Complexity!$A$2:$K$72,MATCH(1,INDEX((Analysis_Low!$A75=Low_Complexity!$A$2:$A$72)*(Analysis_Low!$B75=Low_Complexity!$B$2:$B$72),0,1),0),MATCH(Analysis_Low!F$47,Low_Complexity!$A$2:$K$2,0))</f>
        <v>5</v>
      </c>
      <c r="G75" cm="1">
        <f t="array" ref="G75">INDEX(Low_Complexity!$A$2:$K$72,MATCH(1,INDEX((Analysis_Low!$A75=Low_Complexity!$A$2:$A$72)*(Analysis_Low!$B75=Low_Complexity!$B$2:$B$72),0,1),0),MATCH(Analysis_Low!G$47,Low_Complexity!$A$2:$K$2,0))</f>
        <v>4</v>
      </c>
      <c r="H75" cm="1">
        <f t="array" ref="H75">INDEX(Low_Complexity!$A$2:$K$72,MATCH(1,INDEX((Analysis_Low!$A75=Low_Complexity!$A$2:$A$72)*(Analysis_Low!$B75=Low_Complexity!$B$2:$B$72),0,1),0),MATCH(Analysis_Low!H$47,Low_Complexity!$A$2:$K$2,0))</f>
        <v>5</v>
      </c>
      <c r="I75" cm="1">
        <f t="array" ref="I75">INDEX(Low_Complexity!$A$2:$K$72,MATCH(1,INDEX((Analysis_Low!$A75=Low_Complexity!$A$2:$A$72)*(Analysis_Low!$B75=Low_Complexity!$B$2:$B$72),0,1),0),MATCH(Analysis_Low!I$47,Low_Complexity!$A$2:$K$2,0))</f>
        <v>3</v>
      </c>
      <c r="J75" cm="1">
        <f t="array" ref="J75">INDEX(Low_Complexity!$A$2:$K$72,MATCH(1,INDEX((Analysis_Low!$A75=Low_Complexity!$A$2:$A$72)*(Analysis_Low!$B75=Low_Complexity!$B$2:$B$72),0,1),0),MATCH(Analysis_Low!J$47,Low_Complexity!$A$2:$K$2,0))</f>
        <v>4</v>
      </c>
      <c r="K75" cm="1">
        <f t="array" ref="K75">INDEX(Low_Complexity!$A$2:$K$72,MATCH(1,INDEX((Analysis_Low!$A75=Low_Complexity!$A$2:$A$72)*(Analysis_Low!$B75=Low_Complexity!$B$2:$B$72),0,1),0),MATCH(Analysis_Low!K$47,Low_Complexity!$A$2:$K$2,0))</f>
        <v>50</v>
      </c>
    </row>
    <row r="76" spans="1:11" x14ac:dyDescent="0.25">
      <c r="A76">
        <f t="shared" si="34"/>
        <v>10</v>
      </c>
      <c r="B76" t="s">
        <v>15</v>
      </c>
      <c r="C76" cm="1">
        <f t="array" ref="C76">INDEX(Low_Complexity!$A$2:$K$72,MATCH(1,INDEX((Analysis_Low!$A76=Low_Complexity!$A$2:$A$72)*(Analysis_Low!$B76=Low_Complexity!$B$2:$B$72),0,1),0),MATCH(Analysis_Low!C$47,Low_Complexity!$A$2:$K$2,0))</f>
        <v>3</v>
      </c>
      <c r="D76" cm="1">
        <f t="array" ref="D76">INDEX(Low_Complexity!$A$2:$K$72,MATCH(1,INDEX((Analysis_Low!$A76=Low_Complexity!$A$2:$A$72)*(Analysis_Low!$B76=Low_Complexity!$B$2:$B$72),0,1),0),MATCH(Analysis_Low!D$47,Low_Complexity!$A$2:$K$2,0))</f>
        <v>5</v>
      </c>
      <c r="E76" cm="1">
        <f t="array" ref="E76">INDEX(Low_Complexity!$A$2:$K$72,MATCH(1,INDEX((Analysis_Low!$A76=Low_Complexity!$A$2:$A$72)*(Analysis_Low!$B76=Low_Complexity!$B$2:$B$72),0,1),0),MATCH(Analysis_Low!E$47,Low_Complexity!$A$2:$K$2,0))</f>
        <v>3</v>
      </c>
      <c r="F76" cm="1">
        <f t="array" ref="F76">INDEX(Low_Complexity!$A$2:$K$72,MATCH(1,INDEX((Analysis_Low!$A76=Low_Complexity!$A$2:$A$72)*(Analysis_Low!$B76=Low_Complexity!$B$2:$B$72),0,1),0),MATCH(Analysis_Low!F$47,Low_Complexity!$A$2:$K$2,0))</f>
        <v>4</v>
      </c>
      <c r="G76" cm="1">
        <f t="array" ref="G76">INDEX(Low_Complexity!$A$2:$K$72,MATCH(1,INDEX((Analysis_Low!$A76=Low_Complexity!$A$2:$A$72)*(Analysis_Low!$B76=Low_Complexity!$B$2:$B$72),0,1),0),MATCH(Analysis_Low!G$47,Low_Complexity!$A$2:$K$2,0))</f>
        <v>5</v>
      </c>
      <c r="H76" cm="1">
        <f t="array" ref="H76">INDEX(Low_Complexity!$A$2:$K$72,MATCH(1,INDEX((Analysis_Low!$A76=Low_Complexity!$A$2:$A$72)*(Analysis_Low!$B76=Low_Complexity!$B$2:$B$72),0,1),0),MATCH(Analysis_Low!H$47,Low_Complexity!$A$2:$K$2,0))</f>
        <v>5</v>
      </c>
      <c r="I76" cm="1">
        <f t="array" ref="I76">INDEX(Low_Complexity!$A$2:$K$72,MATCH(1,INDEX((Analysis_Low!$A76=Low_Complexity!$A$2:$A$72)*(Analysis_Low!$B76=Low_Complexity!$B$2:$B$72),0,1),0),MATCH(Analysis_Low!I$47,Low_Complexity!$A$2:$K$2,0))</f>
        <v>3</v>
      </c>
      <c r="J76" cm="1">
        <f t="array" ref="J76">INDEX(Low_Complexity!$A$2:$K$72,MATCH(1,INDEX((Analysis_Low!$A76=Low_Complexity!$A$2:$A$72)*(Analysis_Low!$B76=Low_Complexity!$B$2:$B$72),0,1),0),MATCH(Analysis_Low!J$47,Low_Complexity!$A$2:$K$2,0))</f>
        <v>3</v>
      </c>
      <c r="K76" cm="1">
        <f t="array" ref="K76">INDEX(Low_Complexity!$A$2:$K$72,MATCH(1,INDEX((Analysis_Low!$A76=Low_Complexity!$A$2:$A$72)*(Analysis_Low!$B76=Low_Complexity!$B$2:$B$72),0,1),0),MATCH(Analysis_Low!K$47,Low_Complexity!$A$2:$K$2,0))</f>
        <v>35</v>
      </c>
    </row>
    <row r="77" spans="1:11" x14ac:dyDescent="0.25">
      <c r="A77">
        <f t="shared" si="34"/>
        <v>11</v>
      </c>
      <c r="B77" t="s">
        <v>15</v>
      </c>
      <c r="C77" cm="1">
        <f t="array" ref="C77">INDEX(Low_Complexity!$A$2:$K$72,MATCH(1,INDEX((Analysis_Low!$A77=Low_Complexity!$A$2:$A$72)*(Analysis_Low!$B77=Low_Complexity!$B$2:$B$72),0,1),0),MATCH(Analysis_Low!C$47,Low_Complexity!$A$2:$K$2,0))</f>
        <v>2</v>
      </c>
      <c r="D77" cm="1">
        <f t="array" ref="D77">INDEX(Low_Complexity!$A$2:$K$72,MATCH(1,INDEX((Analysis_Low!$A77=Low_Complexity!$A$2:$A$72)*(Analysis_Low!$B77=Low_Complexity!$B$2:$B$72),0,1),0),MATCH(Analysis_Low!D$47,Low_Complexity!$A$2:$K$2,0))</f>
        <v>2</v>
      </c>
      <c r="E77" cm="1">
        <f t="array" ref="E77">INDEX(Low_Complexity!$A$2:$K$72,MATCH(1,INDEX((Analysis_Low!$A77=Low_Complexity!$A$2:$A$72)*(Analysis_Low!$B77=Low_Complexity!$B$2:$B$72),0,1),0),MATCH(Analysis_Low!E$47,Low_Complexity!$A$2:$K$2,0))</f>
        <v>3</v>
      </c>
      <c r="F77" cm="1">
        <f t="array" ref="F77">INDEX(Low_Complexity!$A$2:$K$72,MATCH(1,INDEX((Analysis_Low!$A77=Low_Complexity!$A$2:$A$72)*(Analysis_Low!$B77=Low_Complexity!$B$2:$B$72),0,1),0),MATCH(Analysis_Low!F$47,Low_Complexity!$A$2:$K$2,0))</f>
        <v>2</v>
      </c>
      <c r="G77" cm="1">
        <f t="array" ref="G77">INDEX(Low_Complexity!$A$2:$K$72,MATCH(1,INDEX((Analysis_Low!$A77=Low_Complexity!$A$2:$A$72)*(Analysis_Low!$B77=Low_Complexity!$B$2:$B$72),0,1),0),MATCH(Analysis_Low!G$47,Low_Complexity!$A$2:$K$2,0))</f>
        <v>3</v>
      </c>
      <c r="H77" cm="1">
        <f t="array" ref="H77">INDEX(Low_Complexity!$A$2:$K$72,MATCH(1,INDEX((Analysis_Low!$A77=Low_Complexity!$A$2:$A$72)*(Analysis_Low!$B77=Low_Complexity!$B$2:$B$72),0,1),0),MATCH(Analysis_Low!H$47,Low_Complexity!$A$2:$K$2,0))</f>
        <v>4</v>
      </c>
      <c r="I77" cm="1">
        <f t="array" ref="I77">INDEX(Low_Complexity!$A$2:$K$72,MATCH(1,INDEX((Analysis_Low!$A77=Low_Complexity!$A$2:$A$72)*(Analysis_Low!$B77=Low_Complexity!$B$2:$B$72),0,1),0),MATCH(Analysis_Low!I$47,Low_Complexity!$A$2:$K$2,0))</f>
        <v>1</v>
      </c>
      <c r="J77" cm="1">
        <f t="array" ref="J77">INDEX(Low_Complexity!$A$2:$K$72,MATCH(1,INDEX((Analysis_Low!$A77=Low_Complexity!$A$2:$A$72)*(Analysis_Low!$B77=Low_Complexity!$B$2:$B$72),0,1),0),MATCH(Analysis_Low!J$47,Low_Complexity!$A$2:$K$2,0))</f>
        <v>3</v>
      </c>
      <c r="K77" cm="1">
        <f t="array" ref="K77">INDEX(Low_Complexity!$A$2:$K$72,MATCH(1,INDEX((Analysis_Low!$A77=Low_Complexity!$A$2:$A$72)*(Analysis_Low!$B77=Low_Complexity!$B$2:$B$72),0,1),0),MATCH(Analysis_Low!K$47,Low_Complexity!$A$2:$K$2,0))</f>
        <v>15</v>
      </c>
    </row>
    <row r="78" spans="1:11" x14ac:dyDescent="0.25">
      <c r="A78">
        <f t="shared" si="34"/>
        <v>12</v>
      </c>
      <c r="B78" t="s">
        <v>15</v>
      </c>
      <c r="C78" cm="1">
        <f t="array" ref="C78">INDEX(Low_Complexity!$A$2:$K$72,MATCH(1,INDEX((Analysis_Low!$A78=Low_Complexity!$A$2:$A$72)*(Analysis_Low!$B78=Low_Complexity!$B$2:$B$72),0,1),0),MATCH(Analysis_Low!C$47,Low_Complexity!$A$2:$K$2,0))</f>
        <v>2</v>
      </c>
      <c r="D78" cm="1">
        <f t="array" ref="D78">INDEX(Low_Complexity!$A$2:$K$72,MATCH(1,INDEX((Analysis_Low!$A78=Low_Complexity!$A$2:$A$72)*(Analysis_Low!$B78=Low_Complexity!$B$2:$B$72),0,1),0),MATCH(Analysis_Low!D$47,Low_Complexity!$A$2:$K$2,0))</f>
        <v>4</v>
      </c>
      <c r="E78" cm="1">
        <f t="array" ref="E78">INDEX(Low_Complexity!$A$2:$K$72,MATCH(1,INDEX((Analysis_Low!$A78=Low_Complexity!$A$2:$A$72)*(Analysis_Low!$B78=Low_Complexity!$B$2:$B$72),0,1),0),MATCH(Analysis_Low!E$47,Low_Complexity!$A$2:$K$2,0))</f>
        <v>2</v>
      </c>
      <c r="F78" cm="1">
        <f t="array" ref="F78">INDEX(Low_Complexity!$A$2:$K$72,MATCH(1,INDEX((Analysis_Low!$A78=Low_Complexity!$A$2:$A$72)*(Analysis_Low!$B78=Low_Complexity!$B$2:$B$72),0,1),0),MATCH(Analysis_Low!F$47,Low_Complexity!$A$2:$K$2,0))</f>
        <v>4</v>
      </c>
      <c r="G78" cm="1">
        <f t="array" ref="G78">INDEX(Low_Complexity!$A$2:$K$72,MATCH(1,INDEX((Analysis_Low!$A78=Low_Complexity!$A$2:$A$72)*(Analysis_Low!$B78=Low_Complexity!$B$2:$B$72),0,1),0),MATCH(Analysis_Low!G$47,Low_Complexity!$A$2:$K$2,0))</f>
        <v>4</v>
      </c>
      <c r="H78" cm="1">
        <f t="array" ref="H78">INDEX(Low_Complexity!$A$2:$K$72,MATCH(1,INDEX((Analysis_Low!$A78=Low_Complexity!$A$2:$A$72)*(Analysis_Low!$B78=Low_Complexity!$B$2:$B$72),0,1),0),MATCH(Analysis_Low!H$47,Low_Complexity!$A$2:$K$2,0))</f>
        <v>2</v>
      </c>
      <c r="I78" cm="1">
        <f t="array" ref="I78">INDEX(Low_Complexity!$A$2:$K$72,MATCH(1,INDEX((Analysis_Low!$A78=Low_Complexity!$A$2:$A$72)*(Analysis_Low!$B78=Low_Complexity!$B$2:$B$72),0,1),0),MATCH(Analysis_Low!I$47,Low_Complexity!$A$2:$K$2,0))</f>
        <v>2</v>
      </c>
      <c r="J78" cm="1">
        <f t="array" ref="J78">INDEX(Low_Complexity!$A$2:$K$72,MATCH(1,INDEX((Analysis_Low!$A78=Low_Complexity!$A$2:$A$72)*(Analysis_Low!$B78=Low_Complexity!$B$2:$B$72),0,1),0),MATCH(Analysis_Low!J$47,Low_Complexity!$A$2:$K$2,0))</f>
        <v>5</v>
      </c>
      <c r="K78" cm="1">
        <f t="array" ref="K78">INDEX(Low_Complexity!$A$2:$K$72,MATCH(1,INDEX((Analysis_Low!$A78=Low_Complexity!$A$2:$A$72)*(Analysis_Low!$B78=Low_Complexity!$B$2:$B$72),0,1),0),MATCH(Analysis_Low!K$47,Low_Complexity!$A$2:$K$2,0))</f>
        <v>25</v>
      </c>
    </row>
    <row r="79" spans="1:11" x14ac:dyDescent="0.25">
      <c r="A79">
        <f t="shared" si="34"/>
        <v>13</v>
      </c>
      <c r="B79" t="s">
        <v>15</v>
      </c>
      <c r="C79" cm="1">
        <f t="array" ref="C79">INDEX(Low_Complexity!$A$2:$K$72,MATCH(1,INDEX((Analysis_Low!$A79=Low_Complexity!$A$2:$A$72)*(Analysis_Low!$B79=Low_Complexity!$B$2:$B$72),0,1),0),MATCH(Analysis_Low!C$47,Low_Complexity!$A$2:$K$2,0))</f>
        <v>1</v>
      </c>
      <c r="D79" cm="1">
        <f t="array" ref="D79">INDEX(Low_Complexity!$A$2:$K$72,MATCH(1,INDEX((Analysis_Low!$A79=Low_Complexity!$A$2:$A$72)*(Analysis_Low!$B79=Low_Complexity!$B$2:$B$72),0,1),0),MATCH(Analysis_Low!D$47,Low_Complexity!$A$2:$K$2,0))</f>
        <v>3</v>
      </c>
      <c r="E79" cm="1">
        <f t="array" ref="E79">INDEX(Low_Complexity!$A$2:$K$72,MATCH(1,INDEX((Analysis_Low!$A79=Low_Complexity!$A$2:$A$72)*(Analysis_Low!$B79=Low_Complexity!$B$2:$B$72),0,1),0),MATCH(Analysis_Low!E$47,Low_Complexity!$A$2:$K$2,0))</f>
        <v>1</v>
      </c>
      <c r="F79" cm="1">
        <f t="array" ref="F79">INDEX(Low_Complexity!$A$2:$K$72,MATCH(1,INDEX((Analysis_Low!$A79=Low_Complexity!$A$2:$A$72)*(Analysis_Low!$B79=Low_Complexity!$B$2:$B$72),0,1),0),MATCH(Analysis_Low!F$47,Low_Complexity!$A$2:$K$2,0))</f>
        <v>3</v>
      </c>
      <c r="G79" cm="1">
        <f t="array" ref="G79">INDEX(Low_Complexity!$A$2:$K$72,MATCH(1,INDEX((Analysis_Low!$A79=Low_Complexity!$A$2:$A$72)*(Analysis_Low!$B79=Low_Complexity!$B$2:$B$72),0,1),0),MATCH(Analysis_Low!G$47,Low_Complexity!$A$2:$K$2,0))</f>
        <v>3</v>
      </c>
      <c r="H79" cm="1">
        <f t="array" ref="H79">INDEX(Low_Complexity!$A$2:$K$72,MATCH(1,INDEX((Analysis_Low!$A79=Low_Complexity!$A$2:$A$72)*(Analysis_Low!$B79=Low_Complexity!$B$2:$B$72),0,1),0),MATCH(Analysis_Low!H$47,Low_Complexity!$A$2:$K$2,0))</f>
        <v>5</v>
      </c>
      <c r="I79" cm="1">
        <f t="array" ref="I79">INDEX(Low_Complexity!$A$2:$K$72,MATCH(1,INDEX((Analysis_Low!$A79=Low_Complexity!$A$2:$A$72)*(Analysis_Low!$B79=Low_Complexity!$B$2:$B$72),0,1),0),MATCH(Analysis_Low!I$47,Low_Complexity!$A$2:$K$2,0))</f>
        <v>3</v>
      </c>
      <c r="J79" cm="1">
        <f t="array" ref="J79">INDEX(Low_Complexity!$A$2:$K$72,MATCH(1,INDEX((Analysis_Low!$A79=Low_Complexity!$A$2:$A$72)*(Analysis_Low!$B79=Low_Complexity!$B$2:$B$72),0,1),0),MATCH(Analysis_Low!J$47,Low_Complexity!$A$2:$K$2,0))</f>
        <v>2</v>
      </c>
      <c r="K79" cm="1">
        <f t="array" ref="K79">INDEX(Low_Complexity!$A$2:$K$72,MATCH(1,INDEX((Analysis_Low!$A79=Low_Complexity!$A$2:$A$72)*(Analysis_Low!$B79=Low_Complexity!$B$2:$B$72),0,1),0),MATCH(Analysis_Low!K$47,Low_Complexity!$A$2:$K$2,0))</f>
        <v>40</v>
      </c>
    </row>
    <row r="80" spans="1:11" x14ac:dyDescent="0.25">
      <c r="A80">
        <f t="shared" si="34"/>
        <v>14</v>
      </c>
      <c r="B80" t="s">
        <v>15</v>
      </c>
      <c r="C80" cm="1">
        <f t="array" ref="C80">INDEX(Low_Complexity!$A$2:$K$72,MATCH(1,INDEX((Analysis_Low!$A80=Low_Complexity!$A$2:$A$72)*(Analysis_Low!$B80=Low_Complexity!$B$2:$B$72),0,1),0),MATCH(Analysis_Low!C$47,Low_Complexity!$A$2:$K$2,0))</f>
        <v>1</v>
      </c>
      <c r="D80" cm="1">
        <f t="array" ref="D80">INDEX(Low_Complexity!$A$2:$K$72,MATCH(1,INDEX((Analysis_Low!$A80=Low_Complexity!$A$2:$A$72)*(Analysis_Low!$B80=Low_Complexity!$B$2:$B$72),0,1),0),MATCH(Analysis_Low!D$47,Low_Complexity!$A$2:$K$2,0))</f>
        <v>4</v>
      </c>
      <c r="E80" cm="1">
        <f t="array" ref="E80">INDEX(Low_Complexity!$A$2:$K$72,MATCH(1,INDEX((Analysis_Low!$A80=Low_Complexity!$A$2:$A$72)*(Analysis_Low!$B80=Low_Complexity!$B$2:$B$72),0,1),0),MATCH(Analysis_Low!E$47,Low_Complexity!$A$2:$K$2,0))</f>
        <v>1</v>
      </c>
      <c r="F80" cm="1">
        <f t="array" ref="F80">INDEX(Low_Complexity!$A$2:$K$72,MATCH(1,INDEX((Analysis_Low!$A80=Low_Complexity!$A$2:$A$72)*(Analysis_Low!$B80=Low_Complexity!$B$2:$B$72),0,1),0),MATCH(Analysis_Low!F$47,Low_Complexity!$A$2:$K$2,0))</f>
        <v>5</v>
      </c>
      <c r="G80" cm="1">
        <f t="array" ref="G80">INDEX(Low_Complexity!$A$2:$K$72,MATCH(1,INDEX((Analysis_Low!$A80=Low_Complexity!$A$2:$A$72)*(Analysis_Low!$B80=Low_Complexity!$B$2:$B$72),0,1),0),MATCH(Analysis_Low!G$47,Low_Complexity!$A$2:$K$2,0))</f>
        <v>5</v>
      </c>
      <c r="H80" cm="1">
        <f t="array" ref="H80">INDEX(Low_Complexity!$A$2:$K$72,MATCH(1,INDEX((Analysis_Low!$A80=Low_Complexity!$A$2:$A$72)*(Analysis_Low!$B80=Low_Complexity!$B$2:$B$72),0,1),0),MATCH(Analysis_Low!H$47,Low_Complexity!$A$2:$K$2,0))</f>
        <v>5</v>
      </c>
      <c r="I80" cm="1">
        <f t="array" ref="I80">INDEX(Low_Complexity!$A$2:$K$72,MATCH(1,INDEX((Analysis_Low!$A80=Low_Complexity!$A$2:$A$72)*(Analysis_Low!$B80=Low_Complexity!$B$2:$B$72),0,1),0),MATCH(Analysis_Low!I$47,Low_Complexity!$A$2:$K$2,0))</f>
        <v>1</v>
      </c>
      <c r="J80" cm="1">
        <f t="array" ref="J80">INDEX(Low_Complexity!$A$2:$K$72,MATCH(1,INDEX((Analysis_Low!$A80=Low_Complexity!$A$2:$A$72)*(Analysis_Low!$B80=Low_Complexity!$B$2:$B$72),0,1),0),MATCH(Analysis_Low!J$47,Low_Complexity!$A$2:$K$2,0))</f>
        <v>5</v>
      </c>
      <c r="K80" cm="1">
        <f t="array" ref="K80">INDEX(Low_Complexity!$A$2:$K$72,MATCH(1,INDEX((Analysis_Low!$A80=Low_Complexity!$A$2:$A$72)*(Analysis_Low!$B80=Low_Complexity!$B$2:$B$72),0,1),0),MATCH(Analysis_Low!K$47,Low_Complexity!$A$2:$K$2,0))</f>
        <v>15</v>
      </c>
    </row>
    <row r="81" spans="1:11" x14ac:dyDescent="0.25">
      <c r="A81" s="2" t="s">
        <v>23</v>
      </c>
      <c r="B81" s="2"/>
      <c r="C81" s="2">
        <f>AVERAGE(C67:C80)</f>
        <v>2.4285714285714284</v>
      </c>
      <c r="D81" s="2">
        <f t="shared" ref="D81" si="35">AVERAGE(D67:D80)</f>
        <v>3.7142857142857144</v>
      </c>
      <c r="E81" s="2">
        <f t="shared" ref="E81" si="36">AVERAGE(E67:E80)</f>
        <v>2.3571428571428572</v>
      </c>
      <c r="F81" s="2">
        <f t="shared" ref="F81" si="37">AVERAGE(F67:F80)</f>
        <v>4</v>
      </c>
      <c r="G81" s="2">
        <f t="shared" ref="G81" si="38">AVERAGE(G67:G80)</f>
        <v>3.6428571428571428</v>
      </c>
      <c r="H81" s="2">
        <f t="shared" ref="H81" si="39">AVERAGE(H67:H80)</f>
        <v>4</v>
      </c>
      <c r="I81" s="2">
        <f t="shared" ref="I81" si="40">AVERAGE(I67:I80)</f>
        <v>2.2142857142857144</v>
      </c>
      <c r="J81" s="2">
        <f t="shared" ref="J81" si="41">AVERAGE(J67:J80)</f>
        <v>3.5</v>
      </c>
      <c r="K81" s="2">
        <f t="shared" ref="K81" si="42">AVERAGE(K67:K80)</f>
        <v>25</v>
      </c>
    </row>
    <row r="82" spans="1:11" x14ac:dyDescent="0.25">
      <c r="A82" t="s">
        <v>24</v>
      </c>
      <c r="C82">
        <f>MEDIAN(C67:C80)</f>
        <v>2</v>
      </c>
      <c r="D82">
        <f t="shared" ref="D82:K82" si="43">MEDIAN(D67:D80)</f>
        <v>4</v>
      </c>
      <c r="E82">
        <f t="shared" si="43"/>
        <v>2</v>
      </c>
      <c r="F82">
        <f t="shared" si="43"/>
        <v>4</v>
      </c>
      <c r="G82">
        <f t="shared" si="43"/>
        <v>3.5</v>
      </c>
      <c r="H82">
        <f t="shared" si="43"/>
        <v>4.5</v>
      </c>
      <c r="I82">
        <f t="shared" si="43"/>
        <v>2</v>
      </c>
      <c r="J82">
        <f t="shared" si="43"/>
        <v>3.5</v>
      </c>
      <c r="K82">
        <f t="shared" si="43"/>
        <v>25</v>
      </c>
    </row>
    <row r="85" spans="1:11" x14ac:dyDescent="0.25">
      <c r="A85" s="1" t="s">
        <v>22</v>
      </c>
      <c r="B85" s="1" t="s">
        <v>0</v>
      </c>
      <c r="C85" s="1" t="s">
        <v>1</v>
      </c>
      <c r="D85" s="1" t="s">
        <v>37</v>
      </c>
      <c r="E85" s="1" t="s">
        <v>3</v>
      </c>
      <c r="F85" s="1" t="s">
        <v>38</v>
      </c>
      <c r="G85" s="1" t="s">
        <v>5</v>
      </c>
      <c r="H85" s="1" t="s">
        <v>41</v>
      </c>
      <c r="I85" s="1" t="s">
        <v>42</v>
      </c>
      <c r="J85" s="13" t="s">
        <v>39</v>
      </c>
      <c r="K85" s="1" t="s">
        <v>10</v>
      </c>
    </row>
    <row r="86" spans="1:11" x14ac:dyDescent="0.25">
      <c r="A86">
        <v>1</v>
      </c>
      <c r="B86" t="s">
        <v>17</v>
      </c>
      <c r="C86" cm="1">
        <f t="array" ref="C86">INDEX(Low_Complexity!$A$2:$K$72,MATCH(1,INDEX((Analysis_Low!$A86=Low_Complexity!$A$2:$A$72)*(Analysis_Low!$B86=Low_Complexity!$B$2:$B$72),0,1),0),MATCH(Analysis_Low!C$47,Low_Complexity!$A$2:$K$2,0))</f>
        <v>4</v>
      </c>
      <c r="D86" cm="1">
        <f t="array" ref="D86">INDEX(Low_Complexity!$A$2:$K$72,MATCH(1,INDEX((Analysis_Low!$A86=Low_Complexity!$A$2:$A$72)*(Analysis_Low!$B86=Low_Complexity!$B$2:$B$72),0,1),0),MATCH(Analysis_Low!D$47,Low_Complexity!$A$2:$K$2,0))</f>
        <v>4</v>
      </c>
      <c r="E86" cm="1">
        <f t="array" ref="E86">INDEX(Low_Complexity!$A$2:$K$72,MATCH(1,INDEX((Analysis_Low!$A86=Low_Complexity!$A$2:$A$72)*(Analysis_Low!$B86=Low_Complexity!$B$2:$B$72),0,1),0),MATCH(Analysis_Low!E$47,Low_Complexity!$A$2:$K$2,0))</f>
        <v>2</v>
      </c>
      <c r="F86" cm="1">
        <f t="array" ref="F86">INDEX(Low_Complexity!$A$2:$K$72,MATCH(1,INDEX((Analysis_Low!$A86=Low_Complexity!$A$2:$A$72)*(Analysis_Low!$B86=Low_Complexity!$B$2:$B$72),0,1),0),MATCH(Analysis_Low!F$47,Low_Complexity!$A$2:$K$2,0))</f>
        <v>4</v>
      </c>
      <c r="G86" cm="1">
        <f t="array" ref="G86">INDEX(Low_Complexity!$A$2:$K$72,MATCH(1,INDEX((Analysis_Low!$A86=Low_Complexity!$A$2:$A$72)*(Analysis_Low!$B86=Low_Complexity!$B$2:$B$72),0,1),0),MATCH(Analysis_Low!G$47,Low_Complexity!$A$2:$K$2,0))</f>
        <v>3</v>
      </c>
      <c r="H86" cm="1">
        <f t="array" ref="H86">INDEX(Low_Complexity!$A$2:$K$72,MATCH(1,INDEX((Analysis_Low!$A86=Low_Complexity!$A$2:$A$72)*(Analysis_Low!$B86=Low_Complexity!$B$2:$B$72),0,1),0),MATCH(Analysis_Low!H$47,Low_Complexity!$A$2:$K$2,0))</f>
        <v>2</v>
      </c>
      <c r="I86" cm="1">
        <f t="array" ref="I86">INDEX(Low_Complexity!$A$2:$K$72,MATCH(1,INDEX((Analysis_Low!$A86=Low_Complexity!$A$2:$A$72)*(Analysis_Low!$B86=Low_Complexity!$B$2:$B$72),0,1),0),MATCH(Analysis_Low!I$47,Low_Complexity!$A$2:$K$2,0))</f>
        <v>4</v>
      </c>
      <c r="J86" cm="1">
        <f t="array" ref="J86">INDEX(Low_Complexity!$A$2:$K$72,MATCH(1,INDEX((Analysis_Low!$A86=Low_Complexity!$A$2:$A$72)*(Analysis_Low!$B86=Low_Complexity!$B$2:$B$72),0,1),0),MATCH(Analysis_Low!J$47,Low_Complexity!$A$2:$K$2,0))</f>
        <v>3</v>
      </c>
      <c r="K86" cm="1">
        <f t="array" ref="K86">INDEX(Low_Complexity!$A$2:$K$72,MATCH(1,INDEX((Analysis_Low!$A86=Low_Complexity!$A$2:$A$72)*(Analysis_Low!$B86=Low_Complexity!$B$2:$B$72),0,1),0),MATCH(Analysis_Low!K$47,Low_Complexity!$A$2:$K$2,0))</f>
        <v>15</v>
      </c>
    </row>
    <row r="87" spans="1:11" x14ac:dyDescent="0.25">
      <c r="A87">
        <f>A86+1</f>
        <v>2</v>
      </c>
      <c r="B87" t="s">
        <v>17</v>
      </c>
      <c r="C87" cm="1">
        <f t="array" ref="C87">INDEX(Low_Complexity!$A$2:$K$72,MATCH(1,INDEX((Analysis_Low!$A87=Low_Complexity!$A$2:$A$72)*(Analysis_Low!$B87=Low_Complexity!$B$2:$B$72),0,1),0),MATCH(Analysis_Low!C$47,Low_Complexity!$A$2:$K$2,0))</f>
        <v>3</v>
      </c>
      <c r="D87" cm="1">
        <f t="array" ref="D87">INDEX(Low_Complexity!$A$2:$K$72,MATCH(1,INDEX((Analysis_Low!$A87=Low_Complexity!$A$2:$A$72)*(Analysis_Low!$B87=Low_Complexity!$B$2:$B$72),0,1),0),MATCH(Analysis_Low!D$47,Low_Complexity!$A$2:$K$2,0))</f>
        <v>3</v>
      </c>
      <c r="E87" cm="1">
        <f t="array" ref="E87">INDEX(Low_Complexity!$A$2:$K$72,MATCH(1,INDEX((Analysis_Low!$A87=Low_Complexity!$A$2:$A$72)*(Analysis_Low!$B87=Low_Complexity!$B$2:$B$72),0,1),0),MATCH(Analysis_Low!E$47,Low_Complexity!$A$2:$K$2,0))</f>
        <v>3</v>
      </c>
      <c r="F87" cm="1">
        <f t="array" ref="F87">INDEX(Low_Complexity!$A$2:$K$72,MATCH(1,INDEX((Analysis_Low!$A87=Low_Complexity!$A$2:$A$72)*(Analysis_Low!$B87=Low_Complexity!$B$2:$B$72),0,1),0),MATCH(Analysis_Low!F$47,Low_Complexity!$A$2:$K$2,0))</f>
        <v>4</v>
      </c>
      <c r="G87" cm="1">
        <f t="array" ref="G87">INDEX(Low_Complexity!$A$2:$K$72,MATCH(1,INDEX((Analysis_Low!$A87=Low_Complexity!$A$2:$A$72)*(Analysis_Low!$B87=Low_Complexity!$B$2:$B$72),0,1),0),MATCH(Analysis_Low!G$47,Low_Complexity!$A$2:$K$2,0))</f>
        <v>4</v>
      </c>
      <c r="H87" cm="1">
        <f t="array" ref="H87">INDEX(Low_Complexity!$A$2:$K$72,MATCH(1,INDEX((Analysis_Low!$A87=Low_Complexity!$A$2:$A$72)*(Analysis_Low!$B87=Low_Complexity!$B$2:$B$72),0,1),0),MATCH(Analysis_Low!H$47,Low_Complexity!$A$2:$K$2,0))</f>
        <v>5</v>
      </c>
      <c r="I87" cm="1">
        <f t="array" ref="I87">INDEX(Low_Complexity!$A$2:$K$72,MATCH(1,INDEX((Analysis_Low!$A87=Low_Complexity!$A$2:$A$72)*(Analysis_Low!$B87=Low_Complexity!$B$2:$B$72),0,1),0),MATCH(Analysis_Low!I$47,Low_Complexity!$A$2:$K$2,0))</f>
        <v>1</v>
      </c>
      <c r="J87" cm="1">
        <f t="array" ref="J87">INDEX(Low_Complexity!$A$2:$K$72,MATCH(1,INDEX((Analysis_Low!$A87=Low_Complexity!$A$2:$A$72)*(Analysis_Low!$B87=Low_Complexity!$B$2:$B$72),0,1),0),MATCH(Analysis_Low!J$47,Low_Complexity!$A$2:$K$2,0))</f>
        <v>3</v>
      </c>
      <c r="K87" cm="1">
        <f t="array" ref="K87">INDEX(Low_Complexity!$A$2:$K$72,MATCH(1,INDEX((Analysis_Low!$A87=Low_Complexity!$A$2:$A$72)*(Analysis_Low!$B87=Low_Complexity!$B$2:$B$72),0,1),0),MATCH(Analysis_Low!K$47,Low_Complexity!$A$2:$K$2,0))</f>
        <v>35</v>
      </c>
    </row>
    <row r="88" spans="1:11" x14ac:dyDescent="0.25">
      <c r="A88">
        <f t="shared" ref="A88:A99" si="44">A87+1</f>
        <v>3</v>
      </c>
      <c r="B88" t="s">
        <v>17</v>
      </c>
      <c r="C88" cm="1">
        <f t="array" ref="C88">INDEX(Low_Complexity!$A$2:$K$72,MATCH(1,INDEX((Analysis_Low!$A88=Low_Complexity!$A$2:$A$72)*(Analysis_Low!$B88=Low_Complexity!$B$2:$B$72),0,1),0),MATCH(Analysis_Low!C$47,Low_Complexity!$A$2:$K$2,0))</f>
        <v>3</v>
      </c>
      <c r="D88" cm="1">
        <f t="array" ref="D88">INDEX(Low_Complexity!$A$2:$K$72,MATCH(1,INDEX((Analysis_Low!$A88=Low_Complexity!$A$2:$A$72)*(Analysis_Low!$B88=Low_Complexity!$B$2:$B$72),0,1),0),MATCH(Analysis_Low!D$47,Low_Complexity!$A$2:$K$2,0))</f>
        <v>2</v>
      </c>
      <c r="E88" cm="1">
        <f t="array" ref="E88">INDEX(Low_Complexity!$A$2:$K$72,MATCH(1,INDEX((Analysis_Low!$A88=Low_Complexity!$A$2:$A$72)*(Analysis_Low!$B88=Low_Complexity!$B$2:$B$72),0,1),0),MATCH(Analysis_Low!E$47,Low_Complexity!$A$2:$K$2,0))</f>
        <v>2</v>
      </c>
      <c r="F88" cm="1">
        <f t="array" ref="F88">INDEX(Low_Complexity!$A$2:$K$72,MATCH(1,INDEX((Analysis_Low!$A88=Low_Complexity!$A$2:$A$72)*(Analysis_Low!$B88=Low_Complexity!$B$2:$B$72),0,1),0),MATCH(Analysis_Low!F$47,Low_Complexity!$A$2:$K$2,0))</f>
        <v>3</v>
      </c>
      <c r="G88" cm="1">
        <f t="array" ref="G88">INDEX(Low_Complexity!$A$2:$K$72,MATCH(1,INDEX((Analysis_Low!$A88=Low_Complexity!$A$2:$A$72)*(Analysis_Low!$B88=Low_Complexity!$B$2:$B$72),0,1),0),MATCH(Analysis_Low!G$47,Low_Complexity!$A$2:$K$2,0))</f>
        <v>3</v>
      </c>
      <c r="H88" cm="1">
        <f t="array" ref="H88">INDEX(Low_Complexity!$A$2:$K$72,MATCH(1,INDEX((Analysis_Low!$A88=Low_Complexity!$A$2:$A$72)*(Analysis_Low!$B88=Low_Complexity!$B$2:$B$72),0,1),0),MATCH(Analysis_Low!H$47,Low_Complexity!$A$2:$K$2,0))</f>
        <v>4</v>
      </c>
      <c r="I88" cm="1">
        <f t="array" ref="I88">INDEX(Low_Complexity!$A$2:$K$72,MATCH(1,INDEX((Analysis_Low!$A88=Low_Complexity!$A$2:$A$72)*(Analysis_Low!$B88=Low_Complexity!$B$2:$B$72),0,1),0),MATCH(Analysis_Low!I$47,Low_Complexity!$A$2:$K$2,0))</f>
        <v>3</v>
      </c>
      <c r="J88" cm="1">
        <f t="array" ref="J88">INDEX(Low_Complexity!$A$2:$K$72,MATCH(1,INDEX((Analysis_Low!$A88=Low_Complexity!$A$2:$A$72)*(Analysis_Low!$B88=Low_Complexity!$B$2:$B$72),0,1),0),MATCH(Analysis_Low!J$47,Low_Complexity!$A$2:$K$2,0))</f>
        <v>3</v>
      </c>
      <c r="K88" cm="1">
        <f t="array" ref="K88">INDEX(Low_Complexity!$A$2:$K$72,MATCH(1,INDEX((Analysis_Low!$A88=Low_Complexity!$A$2:$A$72)*(Analysis_Low!$B88=Low_Complexity!$B$2:$B$72),0,1),0),MATCH(Analysis_Low!K$47,Low_Complexity!$A$2:$K$2,0))</f>
        <v>20</v>
      </c>
    </row>
    <row r="89" spans="1:11" x14ac:dyDescent="0.25">
      <c r="A89">
        <f t="shared" si="44"/>
        <v>4</v>
      </c>
      <c r="B89" t="s">
        <v>17</v>
      </c>
      <c r="C89" cm="1">
        <f t="array" ref="C89">INDEX(Low_Complexity!$A$2:$K$72,MATCH(1,INDEX((Analysis_Low!$A89=Low_Complexity!$A$2:$A$72)*(Analysis_Low!$B89=Low_Complexity!$B$2:$B$72),0,1),0),MATCH(Analysis_Low!C$47,Low_Complexity!$A$2:$K$2,0))</f>
        <v>5</v>
      </c>
      <c r="D89" cm="1">
        <f t="array" ref="D89">INDEX(Low_Complexity!$A$2:$K$72,MATCH(1,INDEX((Analysis_Low!$A89=Low_Complexity!$A$2:$A$72)*(Analysis_Low!$B89=Low_Complexity!$B$2:$B$72),0,1),0),MATCH(Analysis_Low!D$47,Low_Complexity!$A$2:$K$2,0))</f>
        <v>1</v>
      </c>
      <c r="E89" cm="1">
        <f t="array" ref="E89">INDEX(Low_Complexity!$A$2:$K$72,MATCH(1,INDEX((Analysis_Low!$A89=Low_Complexity!$A$2:$A$72)*(Analysis_Low!$B89=Low_Complexity!$B$2:$B$72),0,1),0),MATCH(Analysis_Low!E$47,Low_Complexity!$A$2:$K$2,0))</f>
        <v>1</v>
      </c>
      <c r="F89" cm="1">
        <f t="array" ref="F89">INDEX(Low_Complexity!$A$2:$K$72,MATCH(1,INDEX((Analysis_Low!$A89=Low_Complexity!$A$2:$A$72)*(Analysis_Low!$B89=Low_Complexity!$B$2:$B$72),0,1),0),MATCH(Analysis_Low!F$47,Low_Complexity!$A$2:$K$2,0))</f>
        <v>2</v>
      </c>
      <c r="G89" cm="1">
        <f t="array" ref="G89">INDEX(Low_Complexity!$A$2:$K$72,MATCH(1,INDEX((Analysis_Low!$A89=Low_Complexity!$A$2:$A$72)*(Analysis_Low!$B89=Low_Complexity!$B$2:$B$72),0,1),0),MATCH(Analysis_Low!G$47,Low_Complexity!$A$2:$K$2,0))</f>
        <v>1</v>
      </c>
      <c r="H89" cm="1">
        <f t="array" ref="H89">INDEX(Low_Complexity!$A$2:$K$72,MATCH(1,INDEX((Analysis_Low!$A89=Low_Complexity!$A$2:$A$72)*(Analysis_Low!$B89=Low_Complexity!$B$2:$B$72),0,1),0),MATCH(Analysis_Low!H$47,Low_Complexity!$A$2:$K$2,0))</f>
        <v>1</v>
      </c>
      <c r="I89" cm="1">
        <f t="array" ref="I89">INDEX(Low_Complexity!$A$2:$K$72,MATCH(1,INDEX((Analysis_Low!$A89=Low_Complexity!$A$2:$A$72)*(Analysis_Low!$B89=Low_Complexity!$B$2:$B$72),0,1),0),MATCH(Analysis_Low!I$47,Low_Complexity!$A$2:$K$2,0))</f>
        <v>1</v>
      </c>
      <c r="J89" cm="1">
        <f t="array" ref="J89">INDEX(Low_Complexity!$A$2:$K$72,MATCH(1,INDEX((Analysis_Low!$A89=Low_Complexity!$A$2:$A$72)*(Analysis_Low!$B89=Low_Complexity!$B$2:$B$72),0,1),0),MATCH(Analysis_Low!J$47,Low_Complexity!$A$2:$K$2,0))</f>
        <v>1</v>
      </c>
      <c r="K89" cm="1">
        <f t="array" ref="K89">INDEX(Low_Complexity!$A$2:$K$72,MATCH(1,INDEX((Analysis_Low!$A89=Low_Complexity!$A$2:$A$72)*(Analysis_Low!$B89=Low_Complexity!$B$2:$B$72),0,1),0),MATCH(Analysis_Low!K$47,Low_Complexity!$A$2:$K$2,0))</f>
        <v>5</v>
      </c>
    </row>
    <row r="90" spans="1:11" x14ac:dyDescent="0.25">
      <c r="A90">
        <f t="shared" si="44"/>
        <v>5</v>
      </c>
      <c r="B90" t="s">
        <v>17</v>
      </c>
      <c r="C90" cm="1">
        <f t="array" ref="C90">INDEX(Low_Complexity!$A$2:$K$72,MATCH(1,INDEX((Analysis_Low!$A90=Low_Complexity!$A$2:$A$72)*(Analysis_Low!$B90=Low_Complexity!$B$2:$B$72),0,1),0),MATCH(Analysis_Low!C$47,Low_Complexity!$A$2:$K$2,0))</f>
        <v>5</v>
      </c>
      <c r="D90" cm="1">
        <f t="array" ref="D90">INDEX(Low_Complexity!$A$2:$K$72,MATCH(1,INDEX((Analysis_Low!$A90=Low_Complexity!$A$2:$A$72)*(Analysis_Low!$B90=Low_Complexity!$B$2:$B$72),0,1),0),MATCH(Analysis_Low!D$47,Low_Complexity!$A$2:$K$2,0))</f>
        <v>4</v>
      </c>
      <c r="E90" cm="1">
        <f t="array" ref="E90">INDEX(Low_Complexity!$A$2:$K$72,MATCH(1,INDEX((Analysis_Low!$A90=Low_Complexity!$A$2:$A$72)*(Analysis_Low!$B90=Low_Complexity!$B$2:$B$72),0,1),0),MATCH(Analysis_Low!E$47,Low_Complexity!$A$2:$K$2,0))</f>
        <v>5</v>
      </c>
      <c r="F90" cm="1">
        <f t="array" ref="F90">INDEX(Low_Complexity!$A$2:$K$72,MATCH(1,INDEX((Analysis_Low!$A90=Low_Complexity!$A$2:$A$72)*(Analysis_Low!$B90=Low_Complexity!$B$2:$B$72),0,1),0),MATCH(Analysis_Low!F$47,Low_Complexity!$A$2:$K$2,0))</f>
        <v>4</v>
      </c>
      <c r="G90" cm="1">
        <f t="array" ref="G90">INDEX(Low_Complexity!$A$2:$K$72,MATCH(1,INDEX((Analysis_Low!$A90=Low_Complexity!$A$2:$A$72)*(Analysis_Low!$B90=Low_Complexity!$B$2:$B$72),0,1),0),MATCH(Analysis_Low!G$47,Low_Complexity!$A$2:$K$2,0))</f>
        <v>3</v>
      </c>
      <c r="H90" cm="1">
        <f t="array" ref="H90">INDEX(Low_Complexity!$A$2:$K$72,MATCH(1,INDEX((Analysis_Low!$A90=Low_Complexity!$A$2:$A$72)*(Analysis_Low!$B90=Low_Complexity!$B$2:$B$72),0,1),0),MATCH(Analysis_Low!H$47,Low_Complexity!$A$2:$K$2,0))</f>
        <v>3</v>
      </c>
      <c r="I90" cm="1">
        <f t="array" ref="I90">INDEX(Low_Complexity!$A$2:$K$72,MATCH(1,INDEX((Analysis_Low!$A90=Low_Complexity!$A$2:$A$72)*(Analysis_Low!$B90=Low_Complexity!$B$2:$B$72),0,1),0),MATCH(Analysis_Low!I$47,Low_Complexity!$A$2:$K$2,0))</f>
        <v>4</v>
      </c>
      <c r="J90" cm="1">
        <f t="array" ref="J90">INDEX(Low_Complexity!$A$2:$K$72,MATCH(1,INDEX((Analysis_Low!$A90=Low_Complexity!$A$2:$A$72)*(Analysis_Low!$B90=Low_Complexity!$B$2:$B$72),0,1),0),MATCH(Analysis_Low!J$47,Low_Complexity!$A$2:$K$2,0))</f>
        <v>3</v>
      </c>
      <c r="K90" cm="1">
        <f t="array" ref="K90">INDEX(Low_Complexity!$A$2:$K$72,MATCH(1,INDEX((Analysis_Low!$A90=Low_Complexity!$A$2:$A$72)*(Analysis_Low!$B90=Low_Complexity!$B$2:$B$72),0,1),0),MATCH(Analysis_Low!K$47,Low_Complexity!$A$2:$K$2,0))</f>
        <v>15</v>
      </c>
    </row>
    <row r="91" spans="1:11" x14ac:dyDescent="0.25">
      <c r="A91">
        <f t="shared" si="44"/>
        <v>6</v>
      </c>
      <c r="B91" t="s">
        <v>17</v>
      </c>
      <c r="C91" cm="1">
        <f t="array" ref="C91">INDEX(Low_Complexity!$A$2:$K$72,MATCH(1,INDEX((Analysis_Low!$A91=Low_Complexity!$A$2:$A$72)*(Analysis_Low!$B91=Low_Complexity!$B$2:$B$72),0,1),0),MATCH(Analysis_Low!C$47,Low_Complexity!$A$2:$K$2,0))</f>
        <v>2</v>
      </c>
      <c r="D91" cm="1">
        <f t="array" ref="D91">INDEX(Low_Complexity!$A$2:$K$72,MATCH(1,INDEX((Analysis_Low!$A91=Low_Complexity!$A$2:$A$72)*(Analysis_Low!$B91=Low_Complexity!$B$2:$B$72),0,1),0),MATCH(Analysis_Low!D$47,Low_Complexity!$A$2:$K$2,0))</f>
        <v>5</v>
      </c>
      <c r="E91" cm="1">
        <f t="array" ref="E91">INDEX(Low_Complexity!$A$2:$K$72,MATCH(1,INDEX((Analysis_Low!$A91=Low_Complexity!$A$2:$A$72)*(Analysis_Low!$B91=Low_Complexity!$B$2:$B$72),0,1),0),MATCH(Analysis_Low!E$47,Low_Complexity!$A$2:$K$2,0))</f>
        <v>2</v>
      </c>
      <c r="F91" cm="1">
        <f t="array" ref="F91">INDEX(Low_Complexity!$A$2:$K$72,MATCH(1,INDEX((Analysis_Low!$A91=Low_Complexity!$A$2:$A$72)*(Analysis_Low!$B91=Low_Complexity!$B$2:$B$72),0,1),0),MATCH(Analysis_Low!F$47,Low_Complexity!$A$2:$K$2,0))</f>
        <v>3</v>
      </c>
      <c r="G91" cm="1">
        <f t="array" ref="G91">INDEX(Low_Complexity!$A$2:$K$72,MATCH(1,INDEX((Analysis_Low!$A91=Low_Complexity!$A$2:$A$72)*(Analysis_Low!$B91=Low_Complexity!$B$2:$B$72),0,1),0),MATCH(Analysis_Low!G$47,Low_Complexity!$A$2:$K$2,0))</f>
        <v>3</v>
      </c>
      <c r="H91" cm="1">
        <f t="array" ref="H91">INDEX(Low_Complexity!$A$2:$K$72,MATCH(1,INDEX((Analysis_Low!$A91=Low_Complexity!$A$2:$A$72)*(Analysis_Low!$B91=Low_Complexity!$B$2:$B$72),0,1),0),MATCH(Analysis_Low!H$47,Low_Complexity!$A$2:$K$2,0))</f>
        <v>2</v>
      </c>
      <c r="I91" cm="1">
        <f t="array" ref="I91">INDEX(Low_Complexity!$A$2:$K$72,MATCH(1,INDEX((Analysis_Low!$A91=Low_Complexity!$A$2:$A$72)*(Analysis_Low!$B91=Low_Complexity!$B$2:$B$72),0,1),0),MATCH(Analysis_Low!I$47,Low_Complexity!$A$2:$K$2,0))</f>
        <v>1</v>
      </c>
      <c r="J91" cm="1">
        <f t="array" ref="J91">INDEX(Low_Complexity!$A$2:$K$72,MATCH(1,INDEX((Analysis_Low!$A91=Low_Complexity!$A$2:$A$72)*(Analysis_Low!$B91=Low_Complexity!$B$2:$B$72),0,1),0),MATCH(Analysis_Low!J$47,Low_Complexity!$A$2:$K$2,0))</f>
        <v>2</v>
      </c>
      <c r="K91" cm="1">
        <f t="array" ref="K91">INDEX(Low_Complexity!$A$2:$K$72,MATCH(1,INDEX((Analysis_Low!$A91=Low_Complexity!$A$2:$A$72)*(Analysis_Low!$B91=Low_Complexity!$B$2:$B$72),0,1),0),MATCH(Analysis_Low!K$47,Low_Complexity!$A$2:$K$2,0))</f>
        <v>0</v>
      </c>
    </row>
    <row r="92" spans="1:11" x14ac:dyDescent="0.25">
      <c r="A92">
        <f t="shared" si="44"/>
        <v>7</v>
      </c>
      <c r="B92" t="s">
        <v>17</v>
      </c>
      <c r="C92" cm="1">
        <f t="array" ref="C92">INDEX(Low_Complexity!$A$2:$K$72,MATCH(1,INDEX((Analysis_Low!$A92=Low_Complexity!$A$2:$A$72)*(Analysis_Low!$B92=Low_Complexity!$B$2:$B$72),0,1),0),MATCH(Analysis_Low!C$47,Low_Complexity!$A$2:$K$2,0))</f>
        <v>5</v>
      </c>
      <c r="D92" cm="1">
        <f t="array" ref="D92">INDEX(Low_Complexity!$A$2:$K$72,MATCH(1,INDEX((Analysis_Low!$A92=Low_Complexity!$A$2:$A$72)*(Analysis_Low!$B92=Low_Complexity!$B$2:$B$72),0,1),0),MATCH(Analysis_Low!D$47,Low_Complexity!$A$2:$K$2,0))</f>
        <v>4</v>
      </c>
      <c r="E92" cm="1">
        <f t="array" ref="E92">INDEX(Low_Complexity!$A$2:$K$72,MATCH(1,INDEX((Analysis_Low!$A92=Low_Complexity!$A$2:$A$72)*(Analysis_Low!$B92=Low_Complexity!$B$2:$B$72),0,1),0),MATCH(Analysis_Low!E$47,Low_Complexity!$A$2:$K$2,0))</f>
        <v>1</v>
      </c>
      <c r="F92" cm="1">
        <f t="array" ref="F92">INDEX(Low_Complexity!$A$2:$K$72,MATCH(1,INDEX((Analysis_Low!$A92=Low_Complexity!$A$2:$A$72)*(Analysis_Low!$B92=Low_Complexity!$B$2:$B$72),0,1),0),MATCH(Analysis_Low!F$47,Low_Complexity!$A$2:$K$2,0))</f>
        <v>2</v>
      </c>
      <c r="G92" cm="1">
        <f t="array" ref="G92">INDEX(Low_Complexity!$A$2:$K$72,MATCH(1,INDEX((Analysis_Low!$A92=Low_Complexity!$A$2:$A$72)*(Analysis_Low!$B92=Low_Complexity!$B$2:$B$72),0,1),0),MATCH(Analysis_Low!G$47,Low_Complexity!$A$2:$K$2,0))</f>
        <v>1</v>
      </c>
      <c r="H92" cm="1">
        <f t="array" ref="H92">INDEX(Low_Complexity!$A$2:$K$72,MATCH(1,INDEX((Analysis_Low!$A92=Low_Complexity!$A$2:$A$72)*(Analysis_Low!$B92=Low_Complexity!$B$2:$B$72),0,1),0),MATCH(Analysis_Low!H$47,Low_Complexity!$A$2:$K$2,0))</f>
        <v>1</v>
      </c>
      <c r="I92" cm="1">
        <f t="array" ref="I92">INDEX(Low_Complexity!$A$2:$K$72,MATCH(1,INDEX((Analysis_Low!$A92=Low_Complexity!$A$2:$A$72)*(Analysis_Low!$B92=Low_Complexity!$B$2:$B$72),0,1),0),MATCH(Analysis_Low!I$47,Low_Complexity!$A$2:$K$2,0))</f>
        <v>4</v>
      </c>
      <c r="J92" cm="1">
        <f t="array" ref="J92">INDEX(Low_Complexity!$A$2:$K$72,MATCH(1,INDEX((Analysis_Low!$A92=Low_Complexity!$A$2:$A$72)*(Analysis_Low!$B92=Low_Complexity!$B$2:$B$72),0,1),0),MATCH(Analysis_Low!J$47,Low_Complexity!$A$2:$K$2,0))</f>
        <v>3</v>
      </c>
      <c r="K92" cm="1">
        <f t="array" ref="K92">INDEX(Low_Complexity!$A$2:$K$72,MATCH(1,INDEX((Analysis_Low!$A92=Low_Complexity!$A$2:$A$72)*(Analysis_Low!$B92=Low_Complexity!$B$2:$B$72),0,1),0),MATCH(Analysis_Low!K$47,Low_Complexity!$A$2:$K$2,0))</f>
        <v>5</v>
      </c>
    </row>
    <row r="93" spans="1:11" x14ac:dyDescent="0.25">
      <c r="A93">
        <f t="shared" si="44"/>
        <v>8</v>
      </c>
      <c r="B93" t="s">
        <v>17</v>
      </c>
      <c r="C93" cm="1">
        <f t="array" ref="C93">INDEX(Low_Complexity!$A$2:$K$72,MATCH(1,INDEX((Analysis_Low!$A93=Low_Complexity!$A$2:$A$72)*(Analysis_Low!$B93=Low_Complexity!$B$2:$B$72),0,1),0),MATCH(Analysis_Low!C$47,Low_Complexity!$A$2:$K$2,0))</f>
        <v>4</v>
      </c>
      <c r="D93" cm="1">
        <f t="array" ref="D93">INDEX(Low_Complexity!$A$2:$K$72,MATCH(1,INDEX((Analysis_Low!$A93=Low_Complexity!$A$2:$A$72)*(Analysis_Low!$B93=Low_Complexity!$B$2:$B$72),0,1),0),MATCH(Analysis_Low!D$47,Low_Complexity!$A$2:$K$2,0))</f>
        <v>4</v>
      </c>
      <c r="E93" cm="1">
        <f t="array" ref="E93">INDEX(Low_Complexity!$A$2:$K$72,MATCH(1,INDEX((Analysis_Low!$A93=Low_Complexity!$A$2:$A$72)*(Analysis_Low!$B93=Low_Complexity!$B$2:$B$72),0,1),0),MATCH(Analysis_Low!E$47,Low_Complexity!$A$2:$K$2,0))</f>
        <v>4</v>
      </c>
      <c r="F93" cm="1">
        <f t="array" ref="F93">INDEX(Low_Complexity!$A$2:$K$72,MATCH(1,INDEX((Analysis_Low!$A93=Low_Complexity!$A$2:$A$72)*(Analysis_Low!$B93=Low_Complexity!$B$2:$B$72),0,1),0),MATCH(Analysis_Low!F$47,Low_Complexity!$A$2:$K$2,0))</f>
        <v>3</v>
      </c>
      <c r="G93" cm="1">
        <f t="array" ref="G93">INDEX(Low_Complexity!$A$2:$K$72,MATCH(1,INDEX((Analysis_Low!$A93=Low_Complexity!$A$2:$A$72)*(Analysis_Low!$B93=Low_Complexity!$B$2:$B$72),0,1),0),MATCH(Analysis_Low!G$47,Low_Complexity!$A$2:$K$2,0))</f>
        <v>2</v>
      </c>
      <c r="H93" cm="1">
        <f t="array" ref="H93">INDEX(Low_Complexity!$A$2:$K$72,MATCH(1,INDEX((Analysis_Low!$A93=Low_Complexity!$A$2:$A$72)*(Analysis_Low!$B93=Low_Complexity!$B$2:$B$72),0,1),0),MATCH(Analysis_Low!H$47,Low_Complexity!$A$2:$K$2,0))</f>
        <v>1</v>
      </c>
      <c r="I93" cm="1">
        <f t="array" ref="I93">INDEX(Low_Complexity!$A$2:$K$72,MATCH(1,INDEX((Analysis_Low!$A93=Low_Complexity!$A$2:$A$72)*(Analysis_Low!$B93=Low_Complexity!$B$2:$B$72),0,1),0),MATCH(Analysis_Low!I$47,Low_Complexity!$A$2:$K$2,0))</f>
        <v>4</v>
      </c>
      <c r="J93" cm="1">
        <f t="array" ref="J93">INDEX(Low_Complexity!$A$2:$K$72,MATCH(1,INDEX((Analysis_Low!$A93=Low_Complexity!$A$2:$A$72)*(Analysis_Low!$B93=Low_Complexity!$B$2:$B$72),0,1),0),MATCH(Analysis_Low!J$47,Low_Complexity!$A$2:$K$2,0))</f>
        <v>3</v>
      </c>
      <c r="K93" cm="1">
        <f t="array" ref="K93">INDEX(Low_Complexity!$A$2:$K$72,MATCH(1,INDEX((Analysis_Low!$A93=Low_Complexity!$A$2:$A$72)*(Analysis_Low!$B93=Low_Complexity!$B$2:$B$72),0,1),0),MATCH(Analysis_Low!K$47,Low_Complexity!$A$2:$K$2,0))</f>
        <v>5</v>
      </c>
    </row>
    <row r="94" spans="1:11" x14ac:dyDescent="0.25">
      <c r="A94">
        <f t="shared" si="44"/>
        <v>9</v>
      </c>
      <c r="B94" t="s">
        <v>17</v>
      </c>
      <c r="C94" cm="1">
        <f t="array" ref="C94">INDEX(Low_Complexity!$A$2:$K$72,MATCH(1,INDEX((Analysis_Low!$A94=Low_Complexity!$A$2:$A$72)*(Analysis_Low!$B94=Low_Complexity!$B$2:$B$72),0,1),0),MATCH(Analysis_Low!C$47,Low_Complexity!$A$2:$K$2,0))</f>
        <v>2</v>
      </c>
      <c r="D94" cm="1">
        <f t="array" ref="D94">INDEX(Low_Complexity!$A$2:$K$72,MATCH(1,INDEX((Analysis_Low!$A94=Low_Complexity!$A$2:$A$72)*(Analysis_Low!$B94=Low_Complexity!$B$2:$B$72),0,1),0),MATCH(Analysis_Low!D$47,Low_Complexity!$A$2:$K$2,0))</f>
        <v>3</v>
      </c>
      <c r="E94" cm="1">
        <f t="array" ref="E94">INDEX(Low_Complexity!$A$2:$K$72,MATCH(1,INDEX((Analysis_Low!$A94=Low_Complexity!$A$2:$A$72)*(Analysis_Low!$B94=Low_Complexity!$B$2:$B$72),0,1),0),MATCH(Analysis_Low!E$47,Low_Complexity!$A$2:$K$2,0))</f>
        <v>2</v>
      </c>
      <c r="F94" cm="1">
        <f t="array" ref="F94">INDEX(Low_Complexity!$A$2:$K$72,MATCH(1,INDEX((Analysis_Low!$A94=Low_Complexity!$A$2:$A$72)*(Analysis_Low!$B94=Low_Complexity!$B$2:$B$72),0,1),0),MATCH(Analysis_Low!F$47,Low_Complexity!$A$2:$K$2,0))</f>
        <v>5</v>
      </c>
      <c r="G94" cm="1">
        <f t="array" ref="G94">INDEX(Low_Complexity!$A$2:$K$72,MATCH(1,INDEX((Analysis_Low!$A94=Low_Complexity!$A$2:$A$72)*(Analysis_Low!$B94=Low_Complexity!$B$2:$B$72),0,1),0),MATCH(Analysis_Low!G$47,Low_Complexity!$A$2:$K$2,0))</f>
        <v>3</v>
      </c>
      <c r="H94" cm="1">
        <f t="array" ref="H94">INDEX(Low_Complexity!$A$2:$K$72,MATCH(1,INDEX((Analysis_Low!$A94=Low_Complexity!$A$2:$A$72)*(Analysis_Low!$B94=Low_Complexity!$B$2:$B$72),0,1),0),MATCH(Analysis_Low!H$47,Low_Complexity!$A$2:$K$2,0))</f>
        <v>5</v>
      </c>
      <c r="I94" cm="1">
        <f t="array" ref="I94">INDEX(Low_Complexity!$A$2:$K$72,MATCH(1,INDEX((Analysis_Low!$A94=Low_Complexity!$A$2:$A$72)*(Analysis_Low!$B94=Low_Complexity!$B$2:$B$72),0,1),0),MATCH(Analysis_Low!I$47,Low_Complexity!$A$2:$K$2,0))</f>
        <v>4</v>
      </c>
      <c r="J94" cm="1">
        <f t="array" ref="J94">INDEX(Low_Complexity!$A$2:$K$72,MATCH(1,INDEX((Analysis_Low!$A94=Low_Complexity!$A$2:$A$72)*(Analysis_Low!$B94=Low_Complexity!$B$2:$B$72),0,1),0),MATCH(Analysis_Low!J$47,Low_Complexity!$A$2:$K$2,0))</f>
        <v>3</v>
      </c>
      <c r="K94" cm="1">
        <f t="array" ref="K94">INDEX(Low_Complexity!$A$2:$K$72,MATCH(1,INDEX((Analysis_Low!$A94=Low_Complexity!$A$2:$A$72)*(Analysis_Low!$B94=Low_Complexity!$B$2:$B$72),0,1),0),MATCH(Analysis_Low!K$47,Low_Complexity!$A$2:$K$2,0))</f>
        <v>5</v>
      </c>
    </row>
    <row r="95" spans="1:11" x14ac:dyDescent="0.25">
      <c r="A95">
        <f t="shared" si="44"/>
        <v>10</v>
      </c>
      <c r="B95" t="s">
        <v>17</v>
      </c>
      <c r="C95" cm="1">
        <f t="array" ref="C95">INDEX(Low_Complexity!$A$2:$K$72,MATCH(1,INDEX((Analysis_Low!$A95=Low_Complexity!$A$2:$A$72)*(Analysis_Low!$B95=Low_Complexity!$B$2:$B$72),0,1),0),MATCH(Analysis_Low!C$47,Low_Complexity!$A$2:$K$2,0))</f>
        <v>4</v>
      </c>
      <c r="D95" cm="1">
        <f t="array" ref="D95">INDEX(Low_Complexity!$A$2:$K$72,MATCH(1,INDEX((Analysis_Low!$A95=Low_Complexity!$A$2:$A$72)*(Analysis_Low!$B95=Low_Complexity!$B$2:$B$72),0,1),0),MATCH(Analysis_Low!D$47,Low_Complexity!$A$2:$K$2,0))</f>
        <v>3</v>
      </c>
      <c r="E95" cm="1">
        <f t="array" ref="E95">INDEX(Low_Complexity!$A$2:$K$72,MATCH(1,INDEX((Analysis_Low!$A95=Low_Complexity!$A$2:$A$72)*(Analysis_Low!$B95=Low_Complexity!$B$2:$B$72),0,1),0),MATCH(Analysis_Low!E$47,Low_Complexity!$A$2:$K$2,0))</f>
        <v>2</v>
      </c>
      <c r="F95" cm="1">
        <f t="array" ref="F95">INDEX(Low_Complexity!$A$2:$K$72,MATCH(1,INDEX((Analysis_Low!$A95=Low_Complexity!$A$2:$A$72)*(Analysis_Low!$B95=Low_Complexity!$B$2:$B$72),0,1),0),MATCH(Analysis_Low!F$47,Low_Complexity!$A$2:$K$2,0))</f>
        <v>5</v>
      </c>
      <c r="G95" cm="1">
        <f t="array" ref="G95">INDEX(Low_Complexity!$A$2:$K$72,MATCH(1,INDEX((Analysis_Low!$A95=Low_Complexity!$A$2:$A$72)*(Analysis_Low!$B95=Low_Complexity!$B$2:$B$72),0,1),0),MATCH(Analysis_Low!G$47,Low_Complexity!$A$2:$K$2,0))</f>
        <v>2</v>
      </c>
      <c r="H95" cm="1">
        <f t="array" ref="H95">INDEX(Low_Complexity!$A$2:$K$72,MATCH(1,INDEX((Analysis_Low!$A95=Low_Complexity!$A$2:$A$72)*(Analysis_Low!$B95=Low_Complexity!$B$2:$B$72),0,1),0),MATCH(Analysis_Low!H$47,Low_Complexity!$A$2:$K$2,0))</f>
        <v>2</v>
      </c>
      <c r="I95" cm="1">
        <f t="array" ref="I95">INDEX(Low_Complexity!$A$2:$K$72,MATCH(1,INDEX((Analysis_Low!$A95=Low_Complexity!$A$2:$A$72)*(Analysis_Low!$B95=Low_Complexity!$B$2:$B$72),0,1),0),MATCH(Analysis_Low!I$47,Low_Complexity!$A$2:$K$2,0))</f>
        <v>3</v>
      </c>
      <c r="J95" cm="1">
        <f t="array" ref="J95">INDEX(Low_Complexity!$A$2:$K$72,MATCH(1,INDEX((Analysis_Low!$A95=Low_Complexity!$A$2:$A$72)*(Analysis_Low!$B95=Low_Complexity!$B$2:$B$72),0,1),0),MATCH(Analysis_Low!J$47,Low_Complexity!$A$2:$K$2,0))</f>
        <v>3</v>
      </c>
      <c r="K95" cm="1">
        <f t="array" ref="K95">INDEX(Low_Complexity!$A$2:$K$72,MATCH(1,INDEX((Analysis_Low!$A95=Low_Complexity!$A$2:$A$72)*(Analysis_Low!$B95=Low_Complexity!$B$2:$B$72),0,1),0),MATCH(Analysis_Low!K$47,Low_Complexity!$A$2:$K$2,0))</f>
        <v>10</v>
      </c>
    </row>
    <row r="96" spans="1:11" x14ac:dyDescent="0.25">
      <c r="A96">
        <f t="shared" si="44"/>
        <v>11</v>
      </c>
      <c r="B96" t="s">
        <v>17</v>
      </c>
      <c r="C96" cm="1">
        <f t="array" ref="C96">INDEX(Low_Complexity!$A$2:$K$72,MATCH(1,INDEX((Analysis_Low!$A96=Low_Complexity!$A$2:$A$72)*(Analysis_Low!$B96=Low_Complexity!$B$2:$B$72),0,1),0),MATCH(Analysis_Low!C$47,Low_Complexity!$A$2:$K$2,0))</f>
        <v>4</v>
      </c>
      <c r="D96" cm="1">
        <f t="array" ref="D96">INDEX(Low_Complexity!$A$2:$K$72,MATCH(1,INDEX((Analysis_Low!$A96=Low_Complexity!$A$2:$A$72)*(Analysis_Low!$B96=Low_Complexity!$B$2:$B$72),0,1),0),MATCH(Analysis_Low!D$47,Low_Complexity!$A$2:$K$2,0))</f>
        <v>3</v>
      </c>
      <c r="E96" cm="1">
        <f t="array" ref="E96">INDEX(Low_Complexity!$A$2:$K$72,MATCH(1,INDEX((Analysis_Low!$A96=Low_Complexity!$A$2:$A$72)*(Analysis_Low!$B96=Low_Complexity!$B$2:$B$72),0,1),0),MATCH(Analysis_Low!E$47,Low_Complexity!$A$2:$K$2,0))</f>
        <v>3</v>
      </c>
      <c r="F96" cm="1">
        <f t="array" ref="F96">INDEX(Low_Complexity!$A$2:$K$72,MATCH(1,INDEX((Analysis_Low!$A96=Low_Complexity!$A$2:$A$72)*(Analysis_Low!$B96=Low_Complexity!$B$2:$B$72),0,1),0),MATCH(Analysis_Low!F$47,Low_Complexity!$A$2:$K$2,0))</f>
        <v>4</v>
      </c>
      <c r="G96" cm="1">
        <f t="array" ref="G96">INDEX(Low_Complexity!$A$2:$K$72,MATCH(1,INDEX((Analysis_Low!$A96=Low_Complexity!$A$2:$A$72)*(Analysis_Low!$B96=Low_Complexity!$B$2:$B$72),0,1),0),MATCH(Analysis_Low!G$47,Low_Complexity!$A$2:$K$2,0))</f>
        <v>3</v>
      </c>
      <c r="H96" cm="1">
        <f t="array" ref="H96">INDEX(Low_Complexity!$A$2:$K$72,MATCH(1,INDEX((Analysis_Low!$A96=Low_Complexity!$A$2:$A$72)*(Analysis_Low!$B96=Low_Complexity!$B$2:$B$72),0,1),0),MATCH(Analysis_Low!H$47,Low_Complexity!$A$2:$K$2,0))</f>
        <v>3</v>
      </c>
      <c r="I96" cm="1">
        <f t="array" ref="I96">INDEX(Low_Complexity!$A$2:$K$72,MATCH(1,INDEX((Analysis_Low!$A96=Low_Complexity!$A$2:$A$72)*(Analysis_Low!$B96=Low_Complexity!$B$2:$B$72),0,1),0),MATCH(Analysis_Low!I$47,Low_Complexity!$A$2:$K$2,0))</f>
        <v>3</v>
      </c>
      <c r="J96" cm="1">
        <f t="array" ref="J96">INDEX(Low_Complexity!$A$2:$K$72,MATCH(1,INDEX((Analysis_Low!$A96=Low_Complexity!$A$2:$A$72)*(Analysis_Low!$B96=Low_Complexity!$B$2:$B$72),0,1),0),MATCH(Analysis_Low!J$47,Low_Complexity!$A$2:$K$2,0))</f>
        <v>3</v>
      </c>
      <c r="K96" cm="1">
        <f t="array" ref="K96">INDEX(Low_Complexity!$A$2:$K$72,MATCH(1,INDEX((Analysis_Low!$A96=Low_Complexity!$A$2:$A$72)*(Analysis_Low!$B96=Low_Complexity!$B$2:$B$72),0,1),0),MATCH(Analysis_Low!K$47,Low_Complexity!$A$2:$K$2,0))</f>
        <v>25</v>
      </c>
    </row>
    <row r="97" spans="1:11" x14ac:dyDescent="0.25">
      <c r="A97">
        <f t="shared" si="44"/>
        <v>12</v>
      </c>
      <c r="B97" t="s">
        <v>17</v>
      </c>
      <c r="C97" cm="1">
        <f t="array" ref="C97">INDEX(Low_Complexity!$A$2:$K$72,MATCH(1,INDEX((Analysis_Low!$A97=Low_Complexity!$A$2:$A$72)*(Analysis_Low!$B97=Low_Complexity!$B$2:$B$72),0,1),0),MATCH(Analysis_Low!C$47,Low_Complexity!$A$2:$K$2,0))</f>
        <v>4</v>
      </c>
      <c r="D97" cm="1">
        <f t="array" ref="D97">INDEX(Low_Complexity!$A$2:$K$72,MATCH(1,INDEX((Analysis_Low!$A97=Low_Complexity!$A$2:$A$72)*(Analysis_Low!$B97=Low_Complexity!$B$2:$B$72),0,1),0),MATCH(Analysis_Low!D$47,Low_Complexity!$A$2:$K$2,0))</f>
        <v>2</v>
      </c>
      <c r="E97" cm="1">
        <f t="array" ref="E97">INDEX(Low_Complexity!$A$2:$K$72,MATCH(1,INDEX((Analysis_Low!$A97=Low_Complexity!$A$2:$A$72)*(Analysis_Low!$B97=Low_Complexity!$B$2:$B$72),0,1),0),MATCH(Analysis_Low!E$47,Low_Complexity!$A$2:$K$2,0))</f>
        <v>2</v>
      </c>
      <c r="F97" cm="1">
        <f t="array" ref="F97">INDEX(Low_Complexity!$A$2:$K$72,MATCH(1,INDEX((Analysis_Low!$A97=Low_Complexity!$A$2:$A$72)*(Analysis_Low!$B97=Low_Complexity!$B$2:$B$72),0,1),0),MATCH(Analysis_Low!F$47,Low_Complexity!$A$2:$K$2,0))</f>
        <v>3</v>
      </c>
      <c r="G97" cm="1">
        <f t="array" ref="G97">INDEX(Low_Complexity!$A$2:$K$72,MATCH(1,INDEX((Analysis_Low!$A97=Low_Complexity!$A$2:$A$72)*(Analysis_Low!$B97=Low_Complexity!$B$2:$B$72),0,1),0),MATCH(Analysis_Low!G$47,Low_Complexity!$A$2:$K$2,0))</f>
        <v>2</v>
      </c>
      <c r="H97" cm="1">
        <f t="array" ref="H97">INDEX(Low_Complexity!$A$2:$K$72,MATCH(1,INDEX((Analysis_Low!$A97=Low_Complexity!$A$2:$A$72)*(Analysis_Low!$B97=Low_Complexity!$B$2:$B$72),0,1),0),MATCH(Analysis_Low!H$47,Low_Complexity!$A$2:$K$2,0))</f>
        <v>3</v>
      </c>
      <c r="I97" cm="1">
        <f t="array" ref="I97">INDEX(Low_Complexity!$A$2:$K$72,MATCH(1,INDEX((Analysis_Low!$A97=Low_Complexity!$A$2:$A$72)*(Analysis_Low!$B97=Low_Complexity!$B$2:$B$72),0,1),0),MATCH(Analysis_Low!I$47,Low_Complexity!$A$2:$K$2,0))</f>
        <v>3</v>
      </c>
      <c r="J97" cm="1">
        <f t="array" ref="J97">INDEX(Low_Complexity!$A$2:$K$72,MATCH(1,INDEX((Analysis_Low!$A97=Low_Complexity!$A$2:$A$72)*(Analysis_Low!$B97=Low_Complexity!$B$2:$B$72),0,1),0),MATCH(Analysis_Low!J$47,Low_Complexity!$A$2:$K$2,0))</f>
        <v>2</v>
      </c>
      <c r="K97" cm="1">
        <f t="array" ref="K97">INDEX(Low_Complexity!$A$2:$K$72,MATCH(1,INDEX((Analysis_Low!$A97=Low_Complexity!$A$2:$A$72)*(Analysis_Low!$B97=Low_Complexity!$B$2:$B$72),0,1),0),MATCH(Analysis_Low!K$47,Low_Complexity!$A$2:$K$2,0))</f>
        <v>30</v>
      </c>
    </row>
    <row r="98" spans="1:11" x14ac:dyDescent="0.25">
      <c r="A98">
        <f t="shared" si="44"/>
        <v>13</v>
      </c>
      <c r="B98" t="s">
        <v>17</v>
      </c>
      <c r="C98" cm="1">
        <f t="array" ref="C98">INDEX(Low_Complexity!$A$2:$K$72,MATCH(1,INDEX((Analysis_Low!$A98=Low_Complexity!$A$2:$A$72)*(Analysis_Low!$B98=Low_Complexity!$B$2:$B$72),0,1),0),MATCH(Analysis_Low!C$47,Low_Complexity!$A$2:$K$2,0))</f>
        <v>2</v>
      </c>
      <c r="D98" cm="1">
        <f t="array" ref="D98">INDEX(Low_Complexity!$A$2:$K$72,MATCH(1,INDEX((Analysis_Low!$A98=Low_Complexity!$A$2:$A$72)*(Analysis_Low!$B98=Low_Complexity!$B$2:$B$72),0,1),0),MATCH(Analysis_Low!D$47,Low_Complexity!$A$2:$K$2,0))</f>
        <v>2</v>
      </c>
      <c r="E98" cm="1">
        <f t="array" ref="E98">INDEX(Low_Complexity!$A$2:$K$72,MATCH(1,INDEX((Analysis_Low!$A98=Low_Complexity!$A$2:$A$72)*(Analysis_Low!$B98=Low_Complexity!$B$2:$B$72),0,1),0),MATCH(Analysis_Low!E$47,Low_Complexity!$A$2:$K$2,0))</f>
        <v>1</v>
      </c>
      <c r="F98" cm="1">
        <f t="array" ref="F98">INDEX(Low_Complexity!$A$2:$K$72,MATCH(1,INDEX((Analysis_Low!$A98=Low_Complexity!$A$2:$A$72)*(Analysis_Low!$B98=Low_Complexity!$B$2:$B$72),0,1),0),MATCH(Analysis_Low!F$47,Low_Complexity!$A$2:$K$2,0))</f>
        <v>2</v>
      </c>
      <c r="G98" cm="1">
        <f t="array" ref="G98">INDEX(Low_Complexity!$A$2:$K$72,MATCH(1,INDEX((Analysis_Low!$A98=Low_Complexity!$A$2:$A$72)*(Analysis_Low!$B98=Low_Complexity!$B$2:$B$72),0,1),0),MATCH(Analysis_Low!G$47,Low_Complexity!$A$2:$K$2,0))</f>
        <v>2</v>
      </c>
      <c r="H98" cm="1">
        <f t="array" ref="H98">INDEX(Low_Complexity!$A$2:$K$72,MATCH(1,INDEX((Analysis_Low!$A98=Low_Complexity!$A$2:$A$72)*(Analysis_Low!$B98=Low_Complexity!$B$2:$B$72),0,1),0),MATCH(Analysis_Low!H$47,Low_Complexity!$A$2:$K$2,0))</f>
        <v>4</v>
      </c>
      <c r="I98" cm="1">
        <f t="array" ref="I98">INDEX(Low_Complexity!$A$2:$K$72,MATCH(1,INDEX((Analysis_Low!$A98=Low_Complexity!$A$2:$A$72)*(Analysis_Low!$B98=Low_Complexity!$B$2:$B$72),0,1),0),MATCH(Analysis_Low!I$47,Low_Complexity!$A$2:$K$2,0))</f>
        <v>3</v>
      </c>
      <c r="J98" cm="1">
        <f t="array" ref="J98">INDEX(Low_Complexity!$A$2:$K$72,MATCH(1,INDEX((Analysis_Low!$A98=Low_Complexity!$A$2:$A$72)*(Analysis_Low!$B98=Low_Complexity!$B$2:$B$72),0,1),0),MATCH(Analysis_Low!J$47,Low_Complexity!$A$2:$K$2,0))</f>
        <v>2</v>
      </c>
      <c r="K98" cm="1">
        <f t="array" ref="K98">INDEX(Low_Complexity!$A$2:$K$72,MATCH(1,INDEX((Analysis_Low!$A98=Low_Complexity!$A$2:$A$72)*(Analysis_Low!$B98=Low_Complexity!$B$2:$B$72),0,1),0),MATCH(Analysis_Low!K$47,Low_Complexity!$A$2:$K$2,0))</f>
        <v>10</v>
      </c>
    </row>
    <row r="99" spans="1:11" x14ac:dyDescent="0.25">
      <c r="A99">
        <f t="shared" si="44"/>
        <v>14</v>
      </c>
      <c r="B99" t="s">
        <v>17</v>
      </c>
      <c r="C99" cm="1">
        <f t="array" ref="C99">INDEX(Low_Complexity!$A$2:$K$72,MATCH(1,INDEX((Analysis_Low!$A99=Low_Complexity!$A$2:$A$72)*(Analysis_Low!$B99=Low_Complexity!$B$2:$B$72),0,1),0),MATCH(Analysis_Low!C$47,Low_Complexity!$A$2:$K$2,0))</f>
        <v>2</v>
      </c>
      <c r="D99" cm="1">
        <f t="array" ref="D99">INDEX(Low_Complexity!$A$2:$K$72,MATCH(1,INDEX((Analysis_Low!$A99=Low_Complexity!$A$2:$A$72)*(Analysis_Low!$B99=Low_Complexity!$B$2:$B$72),0,1),0),MATCH(Analysis_Low!D$47,Low_Complexity!$A$2:$K$2,0))</f>
        <v>2</v>
      </c>
      <c r="E99" cm="1">
        <f t="array" ref="E99">INDEX(Low_Complexity!$A$2:$K$72,MATCH(1,INDEX((Analysis_Low!$A99=Low_Complexity!$A$2:$A$72)*(Analysis_Low!$B99=Low_Complexity!$B$2:$B$72),0,1),0),MATCH(Analysis_Low!E$47,Low_Complexity!$A$2:$K$2,0))</f>
        <v>3</v>
      </c>
      <c r="F99" cm="1">
        <f t="array" ref="F99">INDEX(Low_Complexity!$A$2:$K$72,MATCH(1,INDEX((Analysis_Low!$A99=Low_Complexity!$A$2:$A$72)*(Analysis_Low!$B99=Low_Complexity!$B$2:$B$72),0,1),0),MATCH(Analysis_Low!F$47,Low_Complexity!$A$2:$K$2,0))</f>
        <v>2</v>
      </c>
      <c r="G99" cm="1">
        <f t="array" ref="G99">INDEX(Low_Complexity!$A$2:$K$72,MATCH(1,INDEX((Analysis_Low!$A99=Low_Complexity!$A$2:$A$72)*(Analysis_Low!$B99=Low_Complexity!$B$2:$B$72),0,1),0),MATCH(Analysis_Low!G$47,Low_Complexity!$A$2:$K$2,0))</f>
        <v>2</v>
      </c>
      <c r="H99" cm="1">
        <f t="array" ref="H99">INDEX(Low_Complexity!$A$2:$K$72,MATCH(1,INDEX((Analysis_Low!$A99=Low_Complexity!$A$2:$A$72)*(Analysis_Low!$B99=Low_Complexity!$B$2:$B$72),0,1),0),MATCH(Analysis_Low!H$47,Low_Complexity!$A$2:$K$2,0))</f>
        <v>4</v>
      </c>
      <c r="I99" cm="1">
        <f t="array" ref="I99">INDEX(Low_Complexity!$A$2:$K$72,MATCH(1,INDEX((Analysis_Low!$A99=Low_Complexity!$A$2:$A$72)*(Analysis_Low!$B99=Low_Complexity!$B$2:$B$72),0,1),0),MATCH(Analysis_Low!I$47,Low_Complexity!$A$2:$K$2,0))</f>
        <v>2</v>
      </c>
      <c r="J99" cm="1">
        <f t="array" ref="J99">INDEX(Low_Complexity!$A$2:$K$72,MATCH(1,INDEX((Analysis_Low!$A99=Low_Complexity!$A$2:$A$72)*(Analysis_Low!$B99=Low_Complexity!$B$2:$B$72),0,1),0),MATCH(Analysis_Low!J$47,Low_Complexity!$A$2:$K$2,0))</f>
        <v>2</v>
      </c>
      <c r="K99" cm="1">
        <f t="array" ref="K99">INDEX(Low_Complexity!$A$2:$K$72,MATCH(1,INDEX((Analysis_Low!$A99=Low_Complexity!$A$2:$A$72)*(Analysis_Low!$B99=Low_Complexity!$B$2:$B$72),0,1),0),MATCH(Analysis_Low!K$47,Low_Complexity!$A$2:$K$2,0))</f>
        <v>15</v>
      </c>
    </row>
    <row r="100" spans="1:11" x14ac:dyDescent="0.25">
      <c r="A100" s="2" t="s">
        <v>23</v>
      </c>
      <c r="B100" s="2"/>
      <c r="C100" s="2">
        <f>AVERAGE(C86:C99)</f>
        <v>3.5</v>
      </c>
      <c r="D100" s="2">
        <f t="shared" ref="D100" si="45">AVERAGE(D86:D99)</f>
        <v>3</v>
      </c>
      <c r="E100" s="2">
        <f t="shared" ref="E100" si="46">AVERAGE(E86:E99)</f>
        <v>2.3571428571428572</v>
      </c>
      <c r="F100" s="2">
        <f t="shared" ref="F100" si="47">AVERAGE(F86:F99)</f>
        <v>3.2857142857142856</v>
      </c>
      <c r="G100" s="2">
        <f t="shared" ref="G100" si="48">AVERAGE(G86:G99)</f>
        <v>2.4285714285714284</v>
      </c>
      <c r="H100" s="2">
        <f t="shared" ref="H100" si="49">AVERAGE(H86:H99)</f>
        <v>2.8571428571428572</v>
      </c>
      <c r="I100" s="2">
        <f t="shared" ref="I100" si="50">AVERAGE(I86:I99)</f>
        <v>2.8571428571428572</v>
      </c>
      <c r="J100" s="2">
        <f t="shared" ref="J100" si="51">AVERAGE(J86:J99)</f>
        <v>2.5714285714285716</v>
      </c>
      <c r="K100" s="2">
        <f t="shared" ref="K100" si="52">AVERAGE(K86:K99)</f>
        <v>13.928571428571429</v>
      </c>
    </row>
    <row r="101" spans="1:11" x14ac:dyDescent="0.25">
      <c r="A101" t="s">
        <v>24</v>
      </c>
      <c r="C101">
        <f>MEDIAN(C86:C99)</f>
        <v>4</v>
      </c>
      <c r="D101">
        <f t="shared" ref="D101:K101" si="53">MEDIAN(D86:D99)</f>
        <v>3</v>
      </c>
      <c r="E101">
        <f t="shared" si="53"/>
        <v>2</v>
      </c>
      <c r="F101">
        <f t="shared" si="53"/>
        <v>3</v>
      </c>
      <c r="G101">
        <f t="shared" si="53"/>
        <v>2.5</v>
      </c>
      <c r="H101">
        <f t="shared" si="53"/>
        <v>3</v>
      </c>
      <c r="I101">
        <f t="shared" si="53"/>
        <v>3</v>
      </c>
      <c r="J101">
        <f t="shared" si="53"/>
        <v>3</v>
      </c>
      <c r="K101">
        <f t="shared" si="53"/>
        <v>12.5</v>
      </c>
    </row>
    <row r="104" spans="1:11" x14ac:dyDescent="0.25">
      <c r="A104" s="1" t="s">
        <v>22</v>
      </c>
      <c r="B104" s="1" t="s">
        <v>0</v>
      </c>
      <c r="C104" s="1" t="s">
        <v>1</v>
      </c>
      <c r="D104" s="1" t="s">
        <v>37</v>
      </c>
      <c r="E104" s="1" t="s">
        <v>3</v>
      </c>
      <c r="F104" s="1" t="s">
        <v>38</v>
      </c>
      <c r="G104" s="1" t="s">
        <v>5</v>
      </c>
      <c r="H104" s="1" t="s">
        <v>41</v>
      </c>
      <c r="I104" s="1" t="s">
        <v>42</v>
      </c>
      <c r="J104" s="13" t="s">
        <v>39</v>
      </c>
      <c r="K104" s="1" t="s">
        <v>10</v>
      </c>
    </row>
    <row r="105" spans="1:11" x14ac:dyDescent="0.25">
      <c r="A105">
        <v>1</v>
      </c>
      <c r="B105" t="s">
        <v>21</v>
      </c>
      <c r="C105" cm="1">
        <f t="array" ref="C105">INDEX(Low_Complexity!$A$2:$K$72,MATCH(1,INDEX((Analysis_Low!$A105=Low_Complexity!$A$2:$A$72)*(Analysis_Low!$B105=Low_Complexity!$B$2:$B$72),0,1),0),MATCH(Analysis_Low!C$47,Low_Complexity!$A$2:$K$2,0))</f>
        <v>5</v>
      </c>
      <c r="D105" cm="1">
        <f t="array" ref="D105">INDEX(Low_Complexity!$A$2:$K$72,MATCH(1,INDEX((Analysis_Low!$A105=Low_Complexity!$A$2:$A$72)*(Analysis_Low!$B105=Low_Complexity!$B$2:$B$72),0,1),0),MATCH(Analysis_Low!D$47,Low_Complexity!$A$2:$K$2,0))</f>
        <v>4</v>
      </c>
      <c r="E105" cm="1">
        <f t="array" ref="E105">INDEX(Low_Complexity!$A$2:$K$72,MATCH(1,INDEX((Analysis_Low!$A105=Low_Complexity!$A$2:$A$72)*(Analysis_Low!$B105=Low_Complexity!$B$2:$B$72),0,1),0),MATCH(Analysis_Low!E$47,Low_Complexity!$A$2:$K$2,0))</f>
        <v>4</v>
      </c>
      <c r="F105" cm="1">
        <f t="array" ref="F105">INDEX(Low_Complexity!$A$2:$K$72,MATCH(1,INDEX((Analysis_Low!$A105=Low_Complexity!$A$2:$A$72)*(Analysis_Low!$B105=Low_Complexity!$B$2:$B$72),0,1),0),MATCH(Analysis_Low!F$47,Low_Complexity!$A$2:$K$2,0))</f>
        <v>5</v>
      </c>
      <c r="G105" cm="1">
        <f t="array" ref="G105">INDEX(Low_Complexity!$A$2:$K$72,MATCH(1,INDEX((Analysis_Low!$A105=Low_Complexity!$A$2:$A$72)*(Analysis_Low!$B105=Low_Complexity!$B$2:$B$72),0,1),0),MATCH(Analysis_Low!G$47,Low_Complexity!$A$2:$K$2,0))</f>
        <v>4</v>
      </c>
      <c r="H105" cm="1">
        <f t="array" ref="H105">INDEX(Low_Complexity!$A$2:$K$72,MATCH(1,INDEX((Analysis_Low!$A105=Low_Complexity!$A$2:$A$72)*(Analysis_Low!$B105=Low_Complexity!$B$2:$B$72),0,1),0),MATCH(Analysis_Low!H$47,Low_Complexity!$A$2:$K$2,0))</f>
        <v>4</v>
      </c>
      <c r="I105" cm="1">
        <f t="array" ref="I105">INDEX(Low_Complexity!$A$2:$K$72,MATCH(1,INDEX((Analysis_Low!$A105=Low_Complexity!$A$2:$A$72)*(Analysis_Low!$B105=Low_Complexity!$B$2:$B$72),0,1),0),MATCH(Analysis_Low!I$47,Low_Complexity!$A$2:$K$2,0))</f>
        <v>4</v>
      </c>
      <c r="J105" cm="1">
        <f t="array" ref="J105">INDEX(Low_Complexity!$A$2:$K$72,MATCH(1,INDEX((Analysis_Low!$A105=Low_Complexity!$A$2:$A$72)*(Analysis_Low!$B105=Low_Complexity!$B$2:$B$72),0,1),0),MATCH(Analysis_Low!J$47,Low_Complexity!$A$2:$K$2,0))</f>
        <v>4</v>
      </c>
      <c r="K105" cm="1">
        <f t="array" ref="K105">INDEX(Low_Complexity!$A$2:$K$72,MATCH(1,INDEX((Analysis_Low!$A105=Low_Complexity!$A$2:$A$72)*(Analysis_Low!$B105=Low_Complexity!$B$2:$B$72),0,1),0),MATCH(Analysis_Low!K$47,Low_Complexity!$A$2:$K$2,0))</f>
        <v>10</v>
      </c>
    </row>
    <row r="106" spans="1:11" x14ac:dyDescent="0.25">
      <c r="A106">
        <f>A105+1</f>
        <v>2</v>
      </c>
      <c r="B106" t="s">
        <v>21</v>
      </c>
      <c r="C106" cm="1">
        <f t="array" ref="C106">INDEX(Low_Complexity!$A$2:$K$72,MATCH(1,INDEX((Analysis_Low!$A106=Low_Complexity!$A$2:$A$72)*(Analysis_Low!$B106=Low_Complexity!$B$2:$B$72),0,1),0),MATCH(Analysis_Low!C$47,Low_Complexity!$A$2:$K$2,0))</f>
        <v>2</v>
      </c>
      <c r="D106" cm="1">
        <f t="array" ref="D106">INDEX(Low_Complexity!$A$2:$K$72,MATCH(1,INDEX((Analysis_Low!$A106=Low_Complexity!$A$2:$A$72)*(Analysis_Low!$B106=Low_Complexity!$B$2:$B$72),0,1),0),MATCH(Analysis_Low!D$47,Low_Complexity!$A$2:$K$2,0))</f>
        <v>4</v>
      </c>
      <c r="E106" cm="1">
        <f t="array" ref="E106">INDEX(Low_Complexity!$A$2:$K$72,MATCH(1,INDEX((Analysis_Low!$A106=Low_Complexity!$A$2:$A$72)*(Analysis_Low!$B106=Low_Complexity!$B$2:$B$72),0,1),0),MATCH(Analysis_Low!E$47,Low_Complexity!$A$2:$K$2,0))</f>
        <v>5</v>
      </c>
      <c r="F106" cm="1">
        <f t="array" ref="F106">INDEX(Low_Complexity!$A$2:$K$72,MATCH(1,INDEX((Analysis_Low!$A106=Low_Complexity!$A$2:$A$72)*(Analysis_Low!$B106=Low_Complexity!$B$2:$B$72),0,1),0),MATCH(Analysis_Low!F$47,Low_Complexity!$A$2:$K$2,0))</f>
        <v>5</v>
      </c>
      <c r="G106" cm="1">
        <f t="array" ref="G106">INDEX(Low_Complexity!$A$2:$K$72,MATCH(1,INDEX((Analysis_Low!$A106=Low_Complexity!$A$2:$A$72)*(Analysis_Low!$B106=Low_Complexity!$B$2:$B$72),0,1),0),MATCH(Analysis_Low!G$47,Low_Complexity!$A$2:$K$2,0))</f>
        <v>5</v>
      </c>
      <c r="H106" cm="1">
        <f t="array" ref="H106">INDEX(Low_Complexity!$A$2:$K$72,MATCH(1,INDEX((Analysis_Low!$A106=Low_Complexity!$A$2:$A$72)*(Analysis_Low!$B106=Low_Complexity!$B$2:$B$72),0,1),0),MATCH(Analysis_Low!H$47,Low_Complexity!$A$2:$K$2,0))</f>
        <v>5</v>
      </c>
      <c r="I106" cm="1">
        <f t="array" ref="I106">INDEX(Low_Complexity!$A$2:$K$72,MATCH(1,INDEX((Analysis_Low!$A106=Low_Complexity!$A$2:$A$72)*(Analysis_Low!$B106=Low_Complexity!$B$2:$B$72),0,1),0),MATCH(Analysis_Low!I$47,Low_Complexity!$A$2:$K$2,0))</f>
        <v>3</v>
      </c>
      <c r="J106" cm="1">
        <f t="array" ref="J106">INDEX(Low_Complexity!$A$2:$K$72,MATCH(1,INDEX((Analysis_Low!$A106=Low_Complexity!$A$2:$A$72)*(Analysis_Low!$B106=Low_Complexity!$B$2:$B$72),0,1),0),MATCH(Analysis_Low!J$47,Low_Complexity!$A$2:$K$2,0))</f>
        <v>5</v>
      </c>
      <c r="K106" cm="1">
        <f t="array" ref="K106">INDEX(Low_Complexity!$A$2:$K$72,MATCH(1,INDEX((Analysis_Low!$A106=Low_Complexity!$A$2:$A$72)*(Analysis_Low!$B106=Low_Complexity!$B$2:$B$72),0,1),0),MATCH(Analysis_Low!K$47,Low_Complexity!$A$2:$K$2,0))</f>
        <v>15</v>
      </c>
    </row>
    <row r="107" spans="1:11" x14ac:dyDescent="0.25">
      <c r="A107">
        <f t="shared" ref="A107:A118" si="54">A106+1</f>
        <v>3</v>
      </c>
      <c r="B107" t="s">
        <v>21</v>
      </c>
      <c r="C107" cm="1">
        <f t="array" ref="C107">INDEX(Low_Complexity!$A$2:$K$72,MATCH(1,INDEX((Analysis_Low!$A107=Low_Complexity!$A$2:$A$72)*(Analysis_Low!$B107=Low_Complexity!$B$2:$B$72),0,1),0),MATCH(Analysis_Low!C$47,Low_Complexity!$A$2:$K$2,0))</f>
        <v>1</v>
      </c>
      <c r="D107" cm="1">
        <f t="array" ref="D107">INDEX(Low_Complexity!$A$2:$K$72,MATCH(1,INDEX((Analysis_Low!$A107=Low_Complexity!$A$2:$A$72)*(Analysis_Low!$B107=Low_Complexity!$B$2:$B$72),0,1),0),MATCH(Analysis_Low!D$47,Low_Complexity!$A$2:$K$2,0))</f>
        <v>2</v>
      </c>
      <c r="E107" cm="1">
        <f t="array" ref="E107">INDEX(Low_Complexity!$A$2:$K$72,MATCH(1,INDEX((Analysis_Low!$A107=Low_Complexity!$A$2:$A$72)*(Analysis_Low!$B107=Low_Complexity!$B$2:$B$72),0,1),0),MATCH(Analysis_Low!E$47,Low_Complexity!$A$2:$K$2,0))</f>
        <v>2</v>
      </c>
      <c r="F107" cm="1">
        <f t="array" ref="F107">INDEX(Low_Complexity!$A$2:$K$72,MATCH(1,INDEX((Analysis_Low!$A107=Low_Complexity!$A$2:$A$72)*(Analysis_Low!$B107=Low_Complexity!$B$2:$B$72),0,1),0),MATCH(Analysis_Low!F$47,Low_Complexity!$A$2:$K$2,0))</f>
        <v>3</v>
      </c>
      <c r="G107" cm="1">
        <f t="array" ref="G107">INDEX(Low_Complexity!$A$2:$K$72,MATCH(1,INDEX((Analysis_Low!$A107=Low_Complexity!$A$2:$A$72)*(Analysis_Low!$B107=Low_Complexity!$B$2:$B$72),0,1),0),MATCH(Analysis_Low!G$47,Low_Complexity!$A$2:$K$2,0))</f>
        <v>3</v>
      </c>
      <c r="H107" cm="1">
        <f t="array" ref="H107">INDEX(Low_Complexity!$A$2:$K$72,MATCH(1,INDEX((Analysis_Low!$A107=Low_Complexity!$A$2:$A$72)*(Analysis_Low!$B107=Low_Complexity!$B$2:$B$72),0,1),0),MATCH(Analysis_Low!H$47,Low_Complexity!$A$2:$K$2,0))</f>
        <v>4</v>
      </c>
      <c r="I107" cm="1">
        <f t="array" ref="I107">INDEX(Low_Complexity!$A$2:$K$72,MATCH(1,INDEX((Analysis_Low!$A107=Low_Complexity!$A$2:$A$72)*(Analysis_Low!$B107=Low_Complexity!$B$2:$B$72),0,1),0),MATCH(Analysis_Low!I$47,Low_Complexity!$A$2:$K$2,0))</f>
        <v>2</v>
      </c>
      <c r="J107" cm="1">
        <f t="array" ref="J107">INDEX(Low_Complexity!$A$2:$K$72,MATCH(1,INDEX((Analysis_Low!$A107=Low_Complexity!$A$2:$A$72)*(Analysis_Low!$B107=Low_Complexity!$B$2:$B$72),0,1),0),MATCH(Analysis_Low!J$47,Low_Complexity!$A$2:$K$2,0))</f>
        <v>3</v>
      </c>
      <c r="K107" cm="1">
        <f t="array" ref="K107">INDEX(Low_Complexity!$A$2:$K$72,MATCH(1,INDEX((Analysis_Low!$A107=Low_Complexity!$A$2:$A$72)*(Analysis_Low!$B107=Low_Complexity!$B$2:$B$72),0,1),0),MATCH(Analysis_Low!K$47,Low_Complexity!$A$2:$K$2,0))</f>
        <v>35</v>
      </c>
    </row>
    <row r="108" spans="1:11" x14ac:dyDescent="0.25">
      <c r="A108">
        <f t="shared" si="54"/>
        <v>4</v>
      </c>
      <c r="B108" t="s">
        <v>21</v>
      </c>
      <c r="C108" cm="1">
        <f t="array" ref="C108">INDEX(Low_Complexity!$A$2:$K$72,MATCH(1,INDEX((Analysis_Low!$A108=Low_Complexity!$A$2:$A$72)*(Analysis_Low!$B108=Low_Complexity!$B$2:$B$72),0,1),0),MATCH(Analysis_Low!C$47,Low_Complexity!$A$2:$K$2,0))</f>
        <v>3</v>
      </c>
      <c r="D108" cm="1">
        <f t="array" ref="D108">INDEX(Low_Complexity!$A$2:$K$72,MATCH(1,INDEX((Analysis_Low!$A108=Low_Complexity!$A$2:$A$72)*(Analysis_Low!$B108=Low_Complexity!$B$2:$B$72),0,1),0),MATCH(Analysis_Low!D$47,Low_Complexity!$A$2:$K$2,0))</f>
        <v>3</v>
      </c>
      <c r="E108" cm="1">
        <f t="array" ref="E108">INDEX(Low_Complexity!$A$2:$K$72,MATCH(1,INDEX((Analysis_Low!$A108=Low_Complexity!$A$2:$A$72)*(Analysis_Low!$B108=Low_Complexity!$B$2:$B$72),0,1),0),MATCH(Analysis_Low!E$47,Low_Complexity!$A$2:$K$2,0))</f>
        <v>1</v>
      </c>
      <c r="F108" cm="1">
        <f t="array" ref="F108">INDEX(Low_Complexity!$A$2:$K$72,MATCH(1,INDEX((Analysis_Low!$A108=Low_Complexity!$A$2:$A$72)*(Analysis_Low!$B108=Low_Complexity!$B$2:$B$72),0,1),0),MATCH(Analysis_Low!F$47,Low_Complexity!$A$2:$K$2,0))</f>
        <v>5</v>
      </c>
      <c r="G108" cm="1">
        <f t="array" ref="G108">INDEX(Low_Complexity!$A$2:$K$72,MATCH(1,INDEX((Analysis_Low!$A108=Low_Complexity!$A$2:$A$72)*(Analysis_Low!$B108=Low_Complexity!$B$2:$B$72),0,1),0),MATCH(Analysis_Low!G$47,Low_Complexity!$A$2:$K$2,0))</f>
        <v>3</v>
      </c>
      <c r="H108" cm="1">
        <f t="array" ref="H108">INDEX(Low_Complexity!$A$2:$K$72,MATCH(1,INDEX((Analysis_Low!$A108=Low_Complexity!$A$2:$A$72)*(Analysis_Low!$B108=Low_Complexity!$B$2:$B$72),0,1),0),MATCH(Analysis_Low!H$47,Low_Complexity!$A$2:$K$2,0))</f>
        <v>5</v>
      </c>
      <c r="I108" cm="1">
        <f t="array" ref="I108">INDEX(Low_Complexity!$A$2:$K$72,MATCH(1,INDEX((Analysis_Low!$A108=Low_Complexity!$A$2:$A$72)*(Analysis_Low!$B108=Low_Complexity!$B$2:$B$72),0,1),0),MATCH(Analysis_Low!I$47,Low_Complexity!$A$2:$K$2,0))</f>
        <v>3</v>
      </c>
      <c r="J108" cm="1">
        <f t="array" ref="J108">INDEX(Low_Complexity!$A$2:$K$72,MATCH(1,INDEX((Analysis_Low!$A108=Low_Complexity!$A$2:$A$72)*(Analysis_Low!$B108=Low_Complexity!$B$2:$B$72),0,1),0),MATCH(Analysis_Low!J$47,Low_Complexity!$A$2:$K$2,0))</f>
        <v>4</v>
      </c>
      <c r="K108" cm="1">
        <f t="array" ref="K108">INDEX(Low_Complexity!$A$2:$K$72,MATCH(1,INDEX((Analysis_Low!$A108=Low_Complexity!$A$2:$A$72)*(Analysis_Low!$B108=Low_Complexity!$B$2:$B$72),0,1),0),MATCH(Analysis_Low!K$47,Low_Complexity!$A$2:$K$2,0))</f>
        <v>30</v>
      </c>
    </row>
    <row r="109" spans="1:11" x14ac:dyDescent="0.25">
      <c r="A109">
        <f t="shared" si="54"/>
        <v>5</v>
      </c>
      <c r="B109" t="s">
        <v>21</v>
      </c>
      <c r="C109" cm="1">
        <f t="array" ref="C109">INDEX(Low_Complexity!$A$2:$K$72,MATCH(1,INDEX((Analysis_Low!$A109=Low_Complexity!$A$2:$A$72)*(Analysis_Low!$B109=Low_Complexity!$B$2:$B$72),0,1),0),MATCH(Analysis_Low!C$47,Low_Complexity!$A$2:$K$2,0))</f>
        <v>4</v>
      </c>
      <c r="D109" cm="1">
        <f t="array" ref="D109">INDEX(Low_Complexity!$A$2:$K$72,MATCH(1,INDEX((Analysis_Low!$A109=Low_Complexity!$A$2:$A$72)*(Analysis_Low!$B109=Low_Complexity!$B$2:$B$72),0,1),0),MATCH(Analysis_Low!D$47,Low_Complexity!$A$2:$K$2,0))</f>
        <v>4</v>
      </c>
      <c r="E109" cm="1">
        <f t="array" ref="E109">INDEX(Low_Complexity!$A$2:$K$72,MATCH(1,INDEX((Analysis_Low!$A109=Low_Complexity!$A$2:$A$72)*(Analysis_Low!$B109=Low_Complexity!$B$2:$B$72),0,1),0),MATCH(Analysis_Low!E$47,Low_Complexity!$A$2:$K$2,0))</f>
        <v>5</v>
      </c>
      <c r="F109" cm="1">
        <f t="array" ref="F109">INDEX(Low_Complexity!$A$2:$K$72,MATCH(1,INDEX((Analysis_Low!$A109=Low_Complexity!$A$2:$A$72)*(Analysis_Low!$B109=Low_Complexity!$B$2:$B$72),0,1),0),MATCH(Analysis_Low!F$47,Low_Complexity!$A$2:$K$2,0))</f>
        <v>3</v>
      </c>
      <c r="G109" cm="1">
        <f t="array" ref="G109">INDEX(Low_Complexity!$A$2:$K$72,MATCH(1,INDEX((Analysis_Low!$A109=Low_Complexity!$A$2:$A$72)*(Analysis_Low!$B109=Low_Complexity!$B$2:$B$72),0,1),0),MATCH(Analysis_Low!G$47,Low_Complexity!$A$2:$K$2,0))</f>
        <v>2</v>
      </c>
      <c r="H109" cm="1">
        <f t="array" ref="H109">INDEX(Low_Complexity!$A$2:$K$72,MATCH(1,INDEX((Analysis_Low!$A109=Low_Complexity!$A$2:$A$72)*(Analysis_Low!$B109=Low_Complexity!$B$2:$B$72),0,1),0),MATCH(Analysis_Low!H$47,Low_Complexity!$A$2:$K$2,0))</f>
        <v>3</v>
      </c>
      <c r="I109" cm="1">
        <f t="array" ref="I109">INDEX(Low_Complexity!$A$2:$K$72,MATCH(1,INDEX((Analysis_Low!$A109=Low_Complexity!$A$2:$A$72)*(Analysis_Low!$B109=Low_Complexity!$B$2:$B$72),0,1),0),MATCH(Analysis_Low!I$47,Low_Complexity!$A$2:$K$2,0))</f>
        <v>3</v>
      </c>
      <c r="J109" cm="1">
        <f t="array" ref="J109">INDEX(Low_Complexity!$A$2:$K$72,MATCH(1,INDEX((Analysis_Low!$A109=Low_Complexity!$A$2:$A$72)*(Analysis_Low!$B109=Low_Complexity!$B$2:$B$72),0,1),0),MATCH(Analysis_Low!J$47,Low_Complexity!$A$2:$K$2,0))</f>
        <v>2</v>
      </c>
      <c r="K109" cm="1">
        <f t="array" ref="K109">INDEX(Low_Complexity!$A$2:$K$72,MATCH(1,INDEX((Analysis_Low!$A109=Low_Complexity!$A$2:$A$72)*(Analysis_Low!$B109=Low_Complexity!$B$2:$B$72),0,1),0),MATCH(Analysis_Low!K$47,Low_Complexity!$A$2:$K$2,0))</f>
        <v>25</v>
      </c>
    </row>
    <row r="110" spans="1:11" x14ac:dyDescent="0.25">
      <c r="A110">
        <f t="shared" si="54"/>
        <v>6</v>
      </c>
      <c r="B110" t="s">
        <v>21</v>
      </c>
      <c r="C110" cm="1">
        <f t="array" ref="C110">INDEX(Low_Complexity!$A$2:$K$72,MATCH(1,INDEX((Analysis_Low!$A110=Low_Complexity!$A$2:$A$72)*(Analysis_Low!$B110=Low_Complexity!$B$2:$B$72),0,1),0),MATCH(Analysis_Low!C$47,Low_Complexity!$A$2:$K$2,0))</f>
        <v>2</v>
      </c>
      <c r="D110" cm="1">
        <f t="array" ref="D110">INDEX(Low_Complexity!$A$2:$K$72,MATCH(1,INDEX((Analysis_Low!$A110=Low_Complexity!$A$2:$A$72)*(Analysis_Low!$B110=Low_Complexity!$B$2:$B$72),0,1),0),MATCH(Analysis_Low!D$47,Low_Complexity!$A$2:$K$2,0))</f>
        <v>5</v>
      </c>
      <c r="E110" cm="1">
        <f t="array" ref="E110">INDEX(Low_Complexity!$A$2:$K$72,MATCH(1,INDEX((Analysis_Low!$A110=Low_Complexity!$A$2:$A$72)*(Analysis_Low!$B110=Low_Complexity!$B$2:$B$72),0,1),0),MATCH(Analysis_Low!E$47,Low_Complexity!$A$2:$K$2,0))</f>
        <v>2</v>
      </c>
      <c r="F110" cm="1">
        <f t="array" ref="F110">INDEX(Low_Complexity!$A$2:$K$72,MATCH(1,INDEX((Analysis_Low!$A110=Low_Complexity!$A$2:$A$72)*(Analysis_Low!$B110=Low_Complexity!$B$2:$B$72),0,1),0),MATCH(Analysis_Low!F$47,Low_Complexity!$A$2:$K$2,0))</f>
        <v>3</v>
      </c>
      <c r="G110" cm="1">
        <f t="array" ref="G110">INDEX(Low_Complexity!$A$2:$K$72,MATCH(1,INDEX((Analysis_Low!$A110=Low_Complexity!$A$2:$A$72)*(Analysis_Low!$B110=Low_Complexity!$B$2:$B$72),0,1),0),MATCH(Analysis_Low!G$47,Low_Complexity!$A$2:$K$2,0))</f>
        <v>3</v>
      </c>
      <c r="H110" cm="1">
        <f t="array" ref="H110">INDEX(Low_Complexity!$A$2:$K$72,MATCH(1,INDEX((Analysis_Low!$A110=Low_Complexity!$A$2:$A$72)*(Analysis_Low!$B110=Low_Complexity!$B$2:$B$72),0,1),0),MATCH(Analysis_Low!H$47,Low_Complexity!$A$2:$K$2,0))</f>
        <v>2</v>
      </c>
      <c r="I110" cm="1">
        <f t="array" ref="I110">INDEX(Low_Complexity!$A$2:$K$72,MATCH(1,INDEX((Analysis_Low!$A110=Low_Complexity!$A$2:$A$72)*(Analysis_Low!$B110=Low_Complexity!$B$2:$B$72),0,1),0),MATCH(Analysis_Low!I$47,Low_Complexity!$A$2:$K$2,0))</f>
        <v>1</v>
      </c>
      <c r="J110" cm="1">
        <f t="array" ref="J110">INDEX(Low_Complexity!$A$2:$K$72,MATCH(1,INDEX((Analysis_Low!$A110=Low_Complexity!$A$2:$A$72)*(Analysis_Low!$B110=Low_Complexity!$B$2:$B$72),0,1),0),MATCH(Analysis_Low!J$47,Low_Complexity!$A$2:$K$2,0))</f>
        <v>2</v>
      </c>
      <c r="K110" cm="1">
        <f t="array" ref="K110">INDEX(Low_Complexity!$A$2:$K$72,MATCH(1,INDEX((Analysis_Low!$A110=Low_Complexity!$A$2:$A$72)*(Analysis_Low!$B110=Low_Complexity!$B$2:$B$72),0,1),0),MATCH(Analysis_Low!K$47,Low_Complexity!$A$2:$K$2,0))</f>
        <v>20</v>
      </c>
    </row>
    <row r="111" spans="1:11" x14ac:dyDescent="0.25">
      <c r="A111">
        <f t="shared" si="54"/>
        <v>7</v>
      </c>
      <c r="B111" t="s">
        <v>21</v>
      </c>
      <c r="C111" cm="1">
        <f t="array" ref="C111">INDEX(Low_Complexity!$A$2:$K$72,MATCH(1,INDEX((Analysis_Low!$A111=Low_Complexity!$A$2:$A$72)*(Analysis_Low!$B111=Low_Complexity!$B$2:$B$72),0,1),0),MATCH(Analysis_Low!C$47,Low_Complexity!$A$2:$K$2,0))</f>
        <v>2</v>
      </c>
      <c r="D111" cm="1">
        <f t="array" ref="D111">INDEX(Low_Complexity!$A$2:$K$72,MATCH(1,INDEX((Analysis_Low!$A111=Low_Complexity!$A$2:$A$72)*(Analysis_Low!$B111=Low_Complexity!$B$2:$B$72),0,1),0),MATCH(Analysis_Low!D$47,Low_Complexity!$A$2:$K$2,0))</f>
        <v>4</v>
      </c>
      <c r="E111" cm="1">
        <f t="array" ref="E111">INDEX(Low_Complexity!$A$2:$K$72,MATCH(1,INDEX((Analysis_Low!$A111=Low_Complexity!$A$2:$A$72)*(Analysis_Low!$B111=Low_Complexity!$B$2:$B$72),0,1),0),MATCH(Analysis_Low!E$47,Low_Complexity!$A$2:$K$2,0))</f>
        <v>1</v>
      </c>
      <c r="F111" cm="1">
        <f t="array" ref="F111">INDEX(Low_Complexity!$A$2:$K$72,MATCH(1,INDEX((Analysis_Low!$A111=Low_Complexity!$A$2:$A$72)*(Analysis_Low!$B111=Low_Complexity!$B$2:$B$72),0,1),0),MATCH(Analysis_Low!F$47,Low_Complexity!$A$2:$K$2,0))</f>
        <v>2</v>
      </c>
      <c r="G111" cm="1">
        <f t="array" ref="G111">INDEX(Low_Complexity!$A$2:$K$72,MATCH(1,INDEX((Analysis_Low!$A111=Low_Complexity!$A$2:$A$72)*(Analysis_Low!$B111=Low_Complexity!$B$2:$B$72),0,1),0),MATCH(Analysis_Low!G$47,Low_Complexity!$A$2:$K$2,0))</f>
        <v>3</v>
      </c>
      <c r="H111" cm="1">
        <f t="array" ref="H111">INDEX(Low_Complexity!$A$2:$K$72,MATCH(1,INDEX((Analysis_Low!$A111=Low_Complexity!$A$2:$A$72)*(Analysis_Low!$B111=Low_Complexity!$B$2:$B$72),0,1),0),MATCH(Analysis_Low!H$47,Low_Complexity!$A$2:$K$2,0))</f>
        <v>1</v>
      </c>
      <c r="I111" cm="1">
        <f t="array" ref="I111">INDEX(Low_Complexity!$A$2:$K$72,MATCH(1,INDEX((Analysis_Low!$A111=Low_Complexity!$A$2:$A$72)*(Analysis_Low!$B111=Low_Complexity!$B$2:$B$72),0,1),0),MATCH(Analysis_Low!I$47,Low_Complexity!$A$2:$K$2,0))</f>
        <v>2</v>
      </c>
      <c r="J111" cm="1">
        <f t="array" ref="J111">INDEX(Low_Complexity!$A$2:$K$72,MATCH(1,INDEX((Analysis_Low!$A111=Low_Complexity!$A$2:$A$72)*(Analysis_Low!$B111=Low_Complexity!$B$2:$B$72),0,1),0),MATCH(Analysis_Low!J$47,Low_Complexity!$A$2:$K$2,0))</f>
        <v>2</v>
      </c>
      <c r="K111" cm="1">
        <f t="array" ref="K111">INDEX(Low_Complexity!$A$2:$K$72,MATCH(1,INDEX((Analysis_Low!$A111=Low_Complexity!$A$2:$A$72)*(Analysis_Low!$B111=Low_Complexity!$B$2:$B$72),0,1),0),MATCH(Analysis_Low!K$47,Low_Complexity!$A$2:$K$2,0))</f>
        <v>5</v>
      </c>
    </row>
    <row r="112" spans="1:11" x14ac:dyDescent="0.25">
      <c r="A112">
        <f t="shared" si="54"/>
        <v>8</v>
      </c>
      <c r="B112" t="s">
        <v>21</v>
      </c>
      <c r="C112" cm="1">
        <f t="array" ref="C112">INDEX(Low_Complexity!$A$2:$K$72,MATCH(1,INDEX((Analysis_Low!$A112=Low_Complexity!$A$2:$A$72)*(Analysis_Low!$B112=Low_Complexity!$B$2:$B$72),0,1),0),MATCH(Analysis_Low!C$47,Low_Complexity!$A$2:$K$2,0))</f>
        <v>4</v>
      </c>
      <c r="D112" cm="1">
        <f t="array" ref="D112">INDEX(Low_Complexity!$A$2:$K$72,MATCH(1,INDEX((Analysis_Low!$A112=Low_Complexity!$A$2:$A$72)*(Analysis_Low!$B112=Low_Complexity!$B$2:$B$72),0,1),0),MATCH(Analysis_Low!D$47,Low_Complexity!$A$2:$K$2,0))</f>
        <v>5</v>
      </c>
      <c r="E112" cm="1">
        <f t="array" ref="E112">INDEX(Low_Complexity!$A$2:$K$72,MATCH(1,INDEX((Analysis_Low!$A112=Low_Complexity!$A$2:$A$72)*(Analysis_Low!$B112=Low_Complexity!$B$2:$B$72),0,1),0),MATCH(Analysis_Low!E$47,Low_Complexity!$A$2:$K$2,0))</f>
        <v>3</v>
      </c>
      <c r="F112" cm="1">
        <f t="array" ref="F112">INDEX(Low_Complexity!$A$2:$K$72,MATCH(1,INDEX((Analysis_Low!$A112=Low_Complexity!$A$2:$A$72)*(Analysis_Low!$B112=Low_Complexity!$B$2:$B$72),0,1),0),MATCH(Analysis_Low!F$47,Low_Complexity!$A$2:$K$2,0))</f>
        <v>5</v>
      </c>
      <c r="G112" cm="1">
        <f t="array" ref="G112">INDEX(Low_Complexity!$A$2:$K$72,MATCH(1,INDEX((Analysis_Low!$A112=Low_Complexity!$A$2:$A$72)*(Analysis_Low!$B112=Low_Complexity!$B$2:$B$72),0,1),0),MATCH(Analysis_Low!G$47,Low_Complexity!$A$2:$K$2,0))</f>
        <v>5</v>
      </c>
      <c r="H112" cm="1">
        <f t="array" ref="H112">INDEX(Low_Complexity!$A$2:$K$72,MATCH(1,INDEX((Analysis_Low!$A112=Low_Complexity!$A$2:$A$72)*(Analysis_Low!$B112=Low_Complexity!$B$2:$B$72),0,1),0),MATCH(Analysis_Low!H$47,Low_Complexity!$A$2:$K$2,0))</f>
        <v>1</v>
      </c>
      <c r="I112" cm="1">
        <f t="array" ref="I112">INDEX(Low_Complexity!$A$2:$K$72,MATCH(1,INDEX((Analysis_Low!$A112=Low_Complexity!$A$2:$A$72)*(Analysis_Low!$B112=Low_Complexity!$B$2:$B$72),0,1),0),MATCH(Analysis_Low!I$47,Low_Complexity!$A$2:$K$2,0))</f>
        <v>4</v>
      </c>
      <c r="J112" cm="1">
        <f t="array" ref="J112">INDEX(Low_Complexity!$A$2:$K$72,MATCH(1,INDEX((Analysis_Low!$A112=Low_Complexity!$A$2:$A$72)*(Analysis_Low!$B112=Low_Complexity!$B$2:$B$72),0,1),0),MATCH(Analysis_Low!J$47,Low_Complexity!$A$2:$K$2,0))</f>
        <v>5</v>
      </c>
      <c r="K112" cm="1">
        <f t="array" ref="K112">INDEX(Low_Complexity!$A$2:$K$72,MATCH(1,INDEX((Analysis_Low!$A112=Low_Complexity!$A$2:$A$72)*(Analysis_Low!$B112=Low_Complexity!$B$2:$B$72),0,1),0),MATCH(Analysis_Low!K$47,Low_Complexity!$A$2:$K$2,0))</f>
        <v>5</v>
      </c>
    </row>
    <row r="113" spans="1:11" x14ac:dyDescent="0.25">
      <c r="A113">
        <f t="shared" si="54"/>
        <v>9</v>
      </c>
      <c r="B113" t="s">
        <v>21</v>
      </c>
      <c r="C113" cm="1">
        <f t="array" ref="C113">INDEX(Low_Complexity!$A$2:$K$72,MATCH(1,INDEX((Analysis_Low!$A113=Low_Complexity!$A$2:$A$72)*(Analysis_Low!$B113=Low_Complexity!$B$2:$B$72),0,1),0),MATCH(Analysis_Low!C$47,Low_Complexity!$A$2:$K$2,0))</f>
        <v>3</v>
      </c>
      <c r="D113" cm="1">
        <f t="array" ref="D113">INDEX(Low_Complexity!$A$2:$K$72,MATCH(1,INDEX((Analysis_Low!$A113=Low_Complexity!$A$2:$A$72)*(Analysis_Low!$B113=Low_Complexity!$B$2:$B$72),0,1),0),MATCH(Analysis_Low!D$47,Low_Complexity!$A$2:$K$2,0))</f>
        <v>4</v>
      </c>
      <c r="E113" cm="1">
        <f t="array" ref="E113">INDEX(Low_Complexity!$A$2:$K$72,MATCH(1,INDEX((Analysis_Low!$A113=Low_Complexity!$A$2:$A$72)*(Analysis_Low!$B113=Low_Complexity!$B$2:$B$72),0,1),0),MATCH(Analysis_Low!E$47,Low_Complexity!$A$2:$K$2,0))</f>
        <v>5</v>
      </c>
      <c r="F113" cm="1">
        <f t="array" ref="F113">INDEX(Low_Complexity!$A$2:$K$72,MATCH(1,INDEX((Analysis_Low!$A113=Low_Complexity!$A$2:$A$72)*(Analysis_Low!$B113=Low_Complexity!$B$2:$B$72),0,1),0),MATCH(Analysis_Low!F$47,Low_Complexity!$A$2:$K$2,0))</f>
        <v>5</v>
      </c>
      <c r="G113" cm="1">
        <f t="array" ref="G113">INDEX(Low_Complexity!$A$2:$K$72,MATCH(1,INDEX((Analysis_Low!$A113=Low_Complexity!$A$2:$A$72)*(Analysis_Low!$B113=Low_Complexity!$B$2:$B$72),0,1),0),MATCH(Analysis_Low!G$47,Low_Complexity!$A$2:$K$2,0))</f>
        <v>5</v>
      </c>
      <c r="H113" cm="1">
        <f t="array" ref="H113">INDEX(Low_Complexity!$A$2:$K$72,MATCH(1,INDEX((Analysis_Low!$A113=Low_Complexity!$A$2:$A$72)*(Analysis_Low!$B113=Low_Complexity!$B$2:$B$72),0,1),0),MATCH(Analysis_Low!H$47,Low_Complexity!$A$2:$K$2,0))</f>
        <v>5</v>
      </c>
      <c r="I113" cm="1">
        <f t="array" ref="I113">INDEX(Low_Complexity!$A$2:$K$72,MATCH(1,INDEX((Analysis_Low!$A113=Low_Complexity!$A$2:$A$72)*(Analysis_Low!$B113=Low_Complexity!$B$2:$B$72),0,1),0),MATCH(Analysis_Low!I$47,Low_Complexity!$A$2:$K$2,0))</f>
        <v>3</v>
      </c>
      <c r="J113" cm="1">
        <f t="array" ref="J113">INDEX(Low_Complexity!$A$2:$K$72,MATCH(1,INDEX((Analysis_Low!$A113=Low_Complexity!$A$2:$A$72)*(Analysis_Low!$B113=Low_Complexity!$B$2:$B$72),0,1),0),MATCH(Analysis_Low!J$47,Low_Complexity!$A$2:$K$2,0))</f>
        <v>5</v>
      </c>
      <c r="K113" cm="1">
        <f t="array" ref="K113">INDEX(Low_Complexity!$A$2:$K$72,MATCH(1,INDEX((Analysis_Low!$A113=Low_Complexity!$A$2:$A$72)*(Analysis_Low!$B113=Low_Complexity!$B$2:$B$72),0,1),0),MATCH(Analysis_Low!K$47,Low_Complexity!$A$2:$K$2,0))</f>
        <v>20</v>
      </c>
    </row>
    <row r="114" spans="1:11" x14ac:dyDescent="0.25">
      <c r="A114">
        <f t="shared" si="54"/>
        <v>10</v>
      </c>
      <c r="B114" t="s">
        <v>21</v>
      </c>
      <c r="C114" cm="1">
        <f t="array" ref="C114">INDEX(Low_Complexity!$A$2:$K$72,MATCH(1,INDEX((Analysis_Low!$A114=Low_Complexity!$A$2:$A$72)*(Analysis_Low!$B114=Low_Complexity!$B$2:$B$72),0,1),0),MATCH(Analysis_Low!C$47,Low_Complexity!$A$2:$K$2,0))</f>
        <v>3</v>
      </c>
      <c r="D114" cm="1">
        <f t="array" ref="D114">INDEX(Low_Complexity!$A$2:$K$72,MATCH(1,INDEX((Analysis_Low!$A114=Low_Complexity!$A$2:$A$72)*(Analysis_Low!$B114=Low_Complexity!$B$2:$B$72),0,1),0),MATCH(Analysis_Low!D$47,Low_Complexity!$A$2:$K$2,0))</f>
        <v>5</v>
      </c>
      <c r="E114" cm="1">
        <f t="array" ref="E114">INDEX(Low_Complexity!$A$2:$K$72,MATCH(1,INDEX((Analysis_Low!$A114=Low_Complexity!$A$2:$A$72)*(Analysis_Low!$B114=Low_Complexity!$B$2:$B$72),0,1),0),MATCH(Analysis_Low!E$47,Low_Complexity!$A$2:$K$2,0))</f>
        <v>3</v>
      </c>
      <c r="F114" cm="1">
        <f t="array" ref="F114">INDEX(Low_Complexity!$A$2:$K$72,MATCH(1,INDEX((Analysis_Low!$A114=Low_Complexity!$A$2:$A$72)*(Analysis_Low!$B114=Low_Complexity!$B$2:$B$72),0,1),0),MATCH(Analysis_Low!F$47,Low_Complexity!$A$2:$K$2,0))</f>
        <v>4</v>
      </c>
      <c r="G114" cm="1">
        <f t="array" ref="G114">INDEX(Low_Complexity!$A$2:$K$72,MATCH(1,INDEX((Analysis_Low!$A114=Low_Complexity!$A$2:$A$72)*(Analysis_Low!$B114=Low_Complexity!$B$2:$B$72),0,1),0),MATCH(Analysis_Low!G$47,Low_Complexity!$A$2:$K$2,0))</f>
        <v>3</v>
      </c>
      <c r="H114" cm="1">
        <f t="array" ref="H114">INDEX(Low_Complexity!$A$2:$K$72,MATCH(1,INDEX((Analysis_Low!$A114=Low_Complexity!$A$2:$A$72)*(Analysis_Low!$B114=Low_Complexity!$B$2:$B$72),0,1),0),MATCH(Analysis_Low!H$47,Low_Complexity!$A$2:$K$2,0))</f>
        <v>5</v>
      </c>
      <c r="I114" cm="1">
        <f t="array" ref="I114">INDEX(Low_Complexity!$A$2:$K$72,MATCH(1,INDEX((Analysis_Low!$A114=Low_Complexity!$A$2:$A$72)*(Analysis_Low!$B114=Low_Complexity!$B$2:$B$72),0,1),0),MATCH(Analysis_Low!I$47,Low_Complexity!$A$2:$K$2,0))</f>
        <v>2</v>
      </c>
      <c r="J114" cm="1">
        <f t="array" ref="J114">INDEX(Low_Complexity!$A$2:$K$72,MATCH(1,INDEX((Analysis_Low!$A114=Low_Complexity!$A$2:$A$72)*(Analysis_Low!$B114=Low_Complexity!$B$2:$B$72),0,1),0),MATCH(Analysis_Low!J$47,Low_Complexity!$A$2:$K$2,0))</f>
        <v>3</v>
      </c>
      <c r="K114" cm="1">
        <f t="array" ref="K114">INDEX(Low_Complexity!$A$2:$K$72,MATCH(1,INDEX((Analysis_Low!$A114=Low_Complexity!$A$2:$A$72)*(Analysis_Low!$B114=Low_Complexity!$B$2:$B$72),0,1),0),MATCH(Analysis_Low!K$47,Low_Complexity!$A$2:$K$2,0))</f>
        <v>15</v>
      </c>
    </row>
    <row r="115" spans="1:11" x14ac:dyDescent="0.25">
      <c r="A115">
        <f t="shared" si="54"/>
        <v>11</v>
      </c>
      <c r="B115" t="s">
        <v>21</v>
      </c>
      <c r="C115" cm="1">
        <f t="array" ref="C115">INDEX(Low_Complexity!$A$2:$K$72,MATCH(1,INDEX((Analysis_Low!$A115=Low_Complexity!$A$2:$A$72)*(Analysis_Low!$B115=Low_Complexity!$B$2:$B$72),0,1),0),MATCH(Analysis_Low!C$47,Low_Complexity!$A$2:$K$2,0))</f>
        <v>2</v>
      </c>
      <c r="D115" cm="1">
        <f t="array" ref="D115">INDEX(Low_Complexity!$A$2:$K$72,MATCH(1,INDEX((Analysis_Low!$A115=Low_Complexity!$A$2:$A$72)*(Analysis_Low!$B115=Low_Complexity!$B$2:$B$72),0,1),0),MATCH(Analysis_Low!D$47,Low_Complexity!$A$2:$K$2,0))</f>
        <v>3</v>
      </c>
      <c r="E115" cm="1">
        <f t="array" ref="E115">INDEX(Low_Complexity!$A$2:$K$72,MATCH(1,INDEX((Analysis_Low!$A115=Low_Complexity!$A$2:$A$72)*(Analysis_Low!$B115=Low_Complexity!$B$2:$B$72),0,1),0),MATCH(Analysis_Low!E$47,Low_Complexity!$A$2:$K$2,0))</f>
        <v>4</v>
      </c>
      <c r="F115" cm="1">
        <f t="array" ref="F115">INDEX(Low_Complexity!$A$2:$K$72,MATCH(1,INDEX((Analysis_Low!$A115=Low_Complexity!$A$2:$A$72)*(Analysis_Low!$B115=Low_Complexity!$B$2:$B$72),0,1),0),MATCH(Analysis_Low!F$47,Low_Complexity!$A$2:$K$2,0))</f>
        <v>2</v>
      </c>
      <c r="G115" cm="1">
        <f t="array" ref="G115">INDEX(Low_Complexity!$A$2:$K$72,MATCH(1,INDEX((Analysis_Low!$A115=Low_Complexity!$A$2:$A$72)*(Analysis_Low!$B115=Low_Complexity!$B$2:$B$72),0,1),0),MATCH(Analysis_Low!G$47,Low_Complexity!$A$2:$K$2,0))</f>
        <v>3</v>
      </c>
      <c r="H115" cm="1">
        <f t="array" ref="H115">INDEX(Low_Complexity!$A$2:$K$72,MATCH(1,INDEX((Analysis_Low!$A115=Low_Complexity!$A$2:$A$72)*(Analysis_Low!$B115=Low_Complexity!$B$2:$B$72),0,1),0),MATCH(Analysis_Low!H$47,Low_Complexity!$A$2:$K$2,0))</f>
        <v>4</v>
      </c>
      <c r="I115" cm="1">
        <f t="array" ref="I115">INDEX(Low_Complexity!$A$2:$K$72,MATCH(1,INDEX((Analysis_Low!$A115=Low_Complexity!$A$2:$A$72)*(Analysis_Low!$B115=Low_Complexity!$B$2:$B$72),0,1),0),MATCH(Analysis_Low!I$47,Low_Complexity!$A$2:$K$2,0))</f>
        <v>2</v>
      </c>
      <c r="J115" cm="1">
        <f t="array" ref="J115">INDEX(Low_Complexity!$A$2:$K$72,MATCH(1,INDEX((Analysis_Low!$A115=Low_Complexity!$A$2:$A$72)*(Analysis_Low!$B115=Low_Complexity!$B$2:$B$72),0,1),0),MATCH(Analysis_Low!J$47,Low_Complexity!$A$2:$K$2,0))</f>
        <v>3</v>
      </c>
      <c r="K115" cm="1">
        <f t="array" ref="K115">INDEX(Low_Complexity!$A$2:$K$72,MATCH(1,INDEX((Analysis_Low!$A115=Low_Complexity!$A$2:$A$72)*(Analysis_Low!$B115=Low_Complexity!$B$2:$B$72),0,1),0),MATCH(Analysis_Low!K$47,Low_Complexity!$A$2:$K$2,0))</f>
        <v>10</v>
      </c>
    </row>
    <row r="116" spans="1:11" x14ac:dyDescent="0.25">
      <c r="A116">
        <f t="shared" si="54"/>
        <v>12</v>
      </c>
      <c r="B116" t="s">
        <v>21</v>
      </c>
      <c r="C116" cm="1">
        <f t="array" ref="C116">INDEX(Low_Complexity!$A$2:$K$72,MATCH(1,INDEX((Analysis_Low!$A116=Low_Complexity!$A$2:$A$72)*(Analysis_Low!$B116=Low_Complexity!$B$2:$B$72),0,1),0),MATCH(Analysis_Low!C$47,Low_Complexity!$A$2:$K$2,0))</f>
        <v>3</v>
      </c>
      <c r="D116" cm="1">
        <f t="array" ref="D116">INDEX(Low_Complexity!$A$2:$K$72,MATCH(1,INDEX((Analysis_Low!$A116=Low_Complexity!$A$2:$A$72)*(Analysis_Low!$B116=Low_Complexity!$B$2:$B$72),0,1),0),MATCH(Analysis_Low!D$47,Low_Complexity!$A$2:$K$2,0))</f>
        <v>3</v>
      </c>
      <c r="E116" cm="1">
        <f t="array" ref="E116">INDEX(Low_Complexity!$A$2:$K$72,MATCH(1,INDEX((Analysis_Low!$A116=Low_Complexity!$A$2:$A$72)*(Analysis_Low!$B116=Low_Complexity!$B$2:$B$72),0,1),0),MATCH(Analysis_Low!E$47,Low_Complexity!$A$2:$K$2,0))</f>
        <v>2</v>
      </c>
      <c r="F116" cm="1">
        <f t="array" ref="F116">INDEX(Low_Complexity!$A$2:$K$72,MATCH(1,INDEX((Analysis_Low!$A116=Low_Complexity!$A$2:$A$72)*(Analysis_Low!$B116=Low_Complexity!$B$2:$B$72),0,1),0),MATCH(Analysis_Low!F$47,Low_Complexity!$A$2:$K$2,0))</f>
        <v>3</v>
      </c>
      <c r="G116" cm="1">
        <f t="array" ref="G116">INDEX(Low_Complexity!$A$2:$K$72,MATCH(1,INDEX((Analysis_Low!$A116=Low_Complexity!$A$2:$A$72)*(Analysis_Low!$B116=Low_Complexity!$B$2:$B$72),0,1),0),MATCH(Analysis_Low!G$47,Low_Complexity!$A$2:$K$2,0))</f>
        <v>2</v>
      </c>
      <c r="H116" cm="1">
        <f t="array" ref="H116">INDEX(Low_Complexity!$A$2:$K$72,MATCH(1,INDEX((Analysis_Low!$A116=Low_Complexity!$A$2:$A$72)*(Analysis_Low!$B116=Low_Complexity!$B$2:$B$72),0,1),0),MATCH(Analysis_Low!H$47,Low_Complexity!$A$2:$K$2,0))</f>
        <v>2</v>
      </c>
      <c r="I116" cm="1">
        <f t="array" ref="I116">INDEX(Low_Complexity!$A$2:$K$72,MATCH(1,INDEX((Analysis_Low!$A116=Low_Complexity!$A$2:$A$72)*(Analysis_Low!$B116=Low_Complexity!$B$2:$B$72),0,1),0),MATCH(Analysis_Low!I$47,Low_Complexity!$A$2:$K$2,0))</f>
        <v>5</v>
      </c>
      <c r="J116" cm="1">
        <f t="array" ref="J116">INDEX(Low_Complexity!$A$2:$K$72,MATCH(1,INDEX((Analysis_Low!$A116=Low_Complexity!$A$2:$A$72)*(Analysis_Low!$B116=Low_Complexity!$B$2:$B$72),0,1),0),MATCH(Analysis_Low!J$47,Low_Complexity!$A$2:$K$2,0))</f>
        <v>3</v>
      </c>
      <c r="K116" cm="1">
        <f t="array" ref="K116">INDEX(Low_Complexity!$A$2:$K$72,MATCH(1,INDEX((Analysis_Low!$A116=Low_Complexity!$A$2:$A$72)*(Analysis_Low!$B116=Low_Complexity!$B$2:$B$72),0,1),0),MATCH(Analysis_Low!K$47,Low_Complexity!$A$2:$K$2,0))</f>
        <v>30</v>
      </c>
    </row>
    <row r="117" spans="1:11" x14ac:dyDescent="0.25">
      <c r="A117">
        <f t="shared" si="54"/>
        <v>13</v>
      </c>
      <c r="B117" t="s">
        <v>21</v>
      </c>
      <c r="C117" cm="1">
        <f t="array" ref="C117">INDEX(Low_Complexity!$A$2:$K$72,MATCH(1,INDEX((Analysis_Low!$A117=Low_Complexity!$A$2:$A$72)*(Analysis_Low!$B117=Low_Complexity!$B$2:$B$72),0,1),0),MATCH(Analysis_Low!C$47,Low_Complexity!$A$2:$K$2,0))</f>
        <v>2</v>
      </c>
      <c r="D117" cm="1">
        <f t="array" ref="D117">INDEX(Low_Complexity!$A$2:$K$72,MATCH(1,INDEX((Analysis_Low!$A117=Low_Complexity!$A$2:$A$72)*(Analysis_Low!$B117=Low_Complexity!$B$2:$B$72),0,1),0),MATCH(Analysis_Low!D$47,Low_Complexity!$A$2:$K$2,0))</f>
        <v>2</v>
      </c>
      <c r="E117" cm="1">
        <f t="array" ref="E117">INDEX(Low_Complexity!$A$2:$K$72,MATCH(1,INDEX((Analysis_Low!$A117=Low_Complexity!$A$2:$A$72)*(Analysis_Low!$B117=Low_Complexity!$B$2:$B$72),0,1),0),MATCH(Analysis_Low!E$47,Low_Complexity!$A$2:$K$2,0))</f>
        <v>3</v>
      </c>
      <c r="F117" cm="1">
        <f t="array" ref="F117">INDEX(Low_Complexity!$A$2:$K$72,MATCH(1,INDEX((Analysis_Low!$A117=Low_Complexity!$A$2:$A$72)*(Analysis_Low!$B117=Low_Complexity!$B$2:$B$72),0,1),0),MATCH(Analysis_Low!F$47,Low_Complexity!$A$2:$K$2,0))</f>
        <v>3</v>
      </c>
      <c r="G117" cm="1">
        <f t="array" ref="G117">INDEX(Low_Complexity!$A$2:$K$72,MATCH(1,INDEX((Analysis_Low!$A117=Low_Complexity!$A$2:$A$72)*(Analysis_Low!$B117=Low_Complexity!$B$2:$B$72),0,1),0),MATCH(Analysis_Low!G$47,Low_Complexity!$A$2:$K$2,0))</f>
        <v>2</v>
      </c>
      <c r="H117" cm="1">
        <f t="array" ref="H117">INDEX(Low_Complexity!$A$2:$K$72,MATCH(1,INDEX((Analysis_Low!$A117=Low_Complexity!$A$2:$A$72)*(Analysis_Low!$B117=Low_Complexity!$B$2:$B$72),0,1),0),MATCH(Analysis_Low!H$47,Low_Complexity!$A$2:$K$2,0))</f>
        <v>3</v>
      </c>
      <c r="I117" cm="1">
        <f t="array" ref="I117">INDEX(Low_Complexity!$A$2:$K$72,MATCH(1,INDEX((Analysis_Low!$A117=Low_Complexity!$A$2:$A$72)*(Analysis_Low!$B117=Low_Complexity!$B$2:$B$72),0,1),0),MATCH(Analysis_Low!I$47,Low_Complexity!$A$2:$K$2,0))</f>
        <v>3</v>
      </c>
      <c r="J117" cm="1">
        <f t="array" ref="J117">INDEX(Low_Complexity!$A$2:$K$72,MATCH(1,INDEX((Analysis_Low!$A117=Low_Complexity!$A$2:$A$72)*(Analysis_Low!$B117=Low_Complexity!$B$2:$B$72),0,1),0),MATCH(Analysis_Low!J$47,Low_Complexity!$A$2:$K$2,0))</f>
        <v>3</v>
      </c>
      <c r="K117" cm="1">
        <f t="array" ref="K117">INDEX(Low_Complexity!$A$2:$K$72,MATCH(1,INDEX((Analysis_Low!$A117=Low_Complexity!$A$2:$A$72)*(Analysis_Low!$B117=Low_Complexity!$B$2:$B$72),0,1),0),MATCH(Analysis_Low!K$47,Low_Complexity!$A$2:$K$2,0))</f>
        <v>10</v>
      </c>
    </row>
    <row r="118" spans="1:11" x14ac:dyDescent="0.25">
      <c r="A118">
        <f t="shared" si="54"/>
        <v>14</v>
      </c>
      <c r="B118" t="s">
        <v>21</v>
      </c>
      <c r="C118" cm="1">
        <f t="array" ref="C118">INDEX(Low_Complexity!$A$2:$K$72,MATCH(1,INDEX((Analysis_Low!$A118=Low_Complexity!$A$2:$A$72)*(Analysis_Low!$B118=Low_Complexity!$B$2:$B$72),0,1),0),MATCH(Analysis_Low!C$47,Low_Complexity!$A$2:$K$2,0))</f>
        <v>1</v>
      </c>
      <c r="D118" cm="1">
        <f t="array" ref="D118">INDEX(Low_Complexity!$A$2:$K$72,MATCH(1,INDEX((Analysis_Low!$A118=Low_Complexity!$A$2:$A$72)*(Analysis_Low!$B118=Low_Complexity!$B$2:$B$72),0,1),0),MATCH(Analysis_Low!D$47,Low_Complexity!$A$2:$K$2,0))</f>
        <v>4</v>
      </c>
      <c r="E118" cm="1">
        <f t="array" ref="E118">INDEX(Low_Complexity!$A$2:$K$72,MATCH(1,INDEX((Analysis_Low!$A118=Low_Complexity!$A$2:$A$72)*(Analysis_Low!$B118=Low_Complexity!$B$2:$B$72),0,1),0),MATCH(Analysis_Low!E$47,Low_Complexity!$A$2:$K$2,0))</f>
        <v>4</v>
      </c>
      <c r="F118" cm="1">
        <f t="array" ref="F118">INDEX(Low_Complexity!$A$2:$K$72,MATCH(1,INDEX((Analysis_Low!$A118=Low_Complexity!$A$2:$A$72)*(Analysis_Low!$B118=Low_Complexity!$B$2:$B$72),0,1),0),MATCH(Analysis_Low!F$47,Low_Complexity!$A$2:$K$2,0))</f>
        <v>3</v>
      </c>
      <c r="G118" cm="1">
        <f t="array" ref="G118">INDEX(Low_Complexity!$A$2:$K$72,MATCH(1,INDEX((Analysis_Low!$A118=Low_Complexity!$A$2:$A$72)*(Analysis_Low!$B118=Low_Complexity!$B$2:$B$72),0,1),0),MATCH(Analysis_Low!G$47,Low_Complexity!$A$2:$K$2,0))</f>
        <v>4</v>
      </c>
      <c r="H118" cm="1">
        <f t="array" ref="H118">INDEX(Low_Complexity!$A$2:$K$72,MATCH(1,INDEX((Analysis_Low!$A118=Low_Complexity!$A$2:$A$72)*(Analysis_Low!$B118=Low_Complexity!$B$2:$B$72),0,1),0),MATCH(Analysis_Low!H$47,Low_Complexity!$A$2:$K$2,0))</f>
        <v>5</v>
      </c>
      <c r="I118" cm="1">
        <f t="array" ref="I118">INDEX(Low_Complexity!$A$2:$K$72,MATCH(1,INDEX((Analysis_Low!$A118=Low_Complexity!$A$2:$A$72)*(Analysis_Low!$B118=Low_Complexity!$B$2:$B$72),0,1),0),MATCH(Analysis_Low!I$47,Low_Complexity!$A$2:$K$2,0))</f>
        <v>1</v>
      </c>
      <c r="J118" cm="1">
        <f t="array" ref="J118">INDEX(Low_Complexity!$A$2:$K$72,MATCH(1,INDEX((Analysis_Low!$A118=Low_Complexity!$A$2:$A$72)*(Analysis_Low!$B118=Low_Complexity!$B$2:$B$72),0,1),0),MATCH(Analysis_Low!J$47,Low_Complexity!$A$2:$K$2,0))</f>
        <v>3</v>
      </c>
      <c r="K118" cm="1">
        <f t="array" ref="K118">INDEX(Low_Complexity!$A$2:$K$72,MATCH(1,INDEX((Analysis_Low!$A118=Low_Complexity!$A$2:$A$72)*(Analysis_Low!$B118=Low_Complexity!$B$2:$B$72),0,1),0),MATCH(Analysis_Low!K$47,Low_Complexity!$A$2:$K$2,0))</f>
        <v>10</v>
      </c>
    </row>
    <row r="119" spans="1:11" x14ac:dyDescent="0.25">
      <c r="A119" s="2" t="s">
        <v>23</v>
      </c>
      <c r="B119" s="2"/>
      <c r="C119" s="2">
        <f>AVERAGE(C105:C118)</f>
        <v>2.6428571428571428</v>
      </c>
      <c r="D119" s="2">
        <f t="shared" ref="D119" si="55">AVERAGE(D105:D118)</f>
        <v>3.7142857142857144</v>
      </c>
      <c r="E119" s="2">
        <f t="shared" ref="E119" si="56">AVERAGE(E105:E118)</f>
        <v>3.1428571428571428</v>
      </c>
      <c r="F119" s="2">
        <f t="shared" ref="F119" si="57">AVERAGE(F105:F118)</f>
        <v>3.6428571428571428</v>
      </c>
      <c r="G119" s="2">
        <f t="shared" ref="G119" si="58">AVERAGE(G105:G118)</f>
        <v>3.3571428571428572</v>
      </c>
      <c r="H119" s="2">
        <f t="shared" ref="H119" si="59">AVERAGE(H105:H118)</f>
        <v>3.5</v>
      </c>
      <c r="I119" s="2">
        <f t="shared" ref="I119" si="60">AVERAGE(I105:I118)</f>
        <v>2.7142857142857144</v>
      </c>
      <c r="J119" s="2">
        <f t="shared" ref="J119" si="61">AVERAGE(J105:J118)</f>
        <v>3.3571428571428572</v>
      </c>
      <c r="K119" s="2">
        <f t="shared" ref="K119" si="62">AVERAGE(K105:K118)</f>
        <v>17.142857142857142</v>
      </c>
    </row>
    <row r="120" spans="1:11" x14ac:dyDescent="0.25">
      <c r="A120" t="s">
        <v>24</v>
      </c>
      <c r="C120">
        <f>MEDIAN(C105:C118)</f>
        <v>2.5</v>
      </c>
      <c r="D120">
        <f t="shared" ref="D120:K120" si="63">MEDIAN(D105:D118)</f>
        <v>4</v>
      </c>
      <c r="E120">
        <f t="shared" si="63"/>
        <v>3</v>
      </c>
      <c r="F120">
        <f t="shared" si="63"/>
        <v>3</v>
      </c>
      <c r="G120">
        <f t="shared" si="63"/>
        <v>3</v>
      </c>
      <c r="H120">
        <f t="shared" si="63"/>
        <v>4</v>
      </c>
      <c r="I120">
        <f t="shared" si="63"/>
        <v>3</v>
      </c>
      <c r="J120">
        <f t="shared" si="63"/>
        <v>3</v>
      </c>
      <c r="K120">
        <f t="shared" si="63"/>
        <v>15</v>
      </c>
    </row>
  </sheetData>
  <mergeCells count="1">
    <mergeCell ref="B16:I16"/>
  </mergeCells>
  <pageMargins left="0.7" right="0.7" top="0.78740157499999996" bottom="0.78740157499999996" header="0.3" footer="0.3"/>
  <pageSetup paperSize="9" orientation="portrait" r:id="rId1"/>
  <ignoredErrors>
    <ignoredError sqref="C5:C8 C18:C22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D1E0E-DDFF-4524-BC7C-C65009544F7F}">
  <sheetPr codeName="Tabelle6"/>
  <dimension ref="A1:K117"/>
  <sheetViews>
    <sheetView topLeftCell="G1" zoomScale="72" zoomScaleNormal="85" workbookViewId="0">
      <selection activeCell="K9" sqref="D4:K9"/>
    </sheetView>
  </sheetViews>
  <sheetFormatPr defaultColWidth="10.85546875" defaultRowHeight="15" x14ac:dyDescent="0.25"/>
  <cols>
    <col min="1" max="1" width="15.7109375" customWidth="1"/>
    <col min="2" max="3" width="16.85546875" bestFit="1" customWidth="1"/>
    <col min="4" max="5" width="16.5703125" bestFit="1" customWidth="1"/>
    <col min="6" max="6" width="27" bestFit="1" customWidth="1"/>
    <col min="7" max="7" width="6.28515625" bestFit="1" customWidth="1"/>
    <col min="8" max="9" width="38.140625" bestFit="1" customWidth="1"/>
    <col min="10" max="11" width="26" bestFit="1" customWidth="1"/>
  </cols>
  <sheetData>
    <row r="1" spans="1:11" x14ac:dyDescent="0.2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B2" s="30" t="s">
        <v>29</v>
      </c>
      <c r="C2" s="30"/>
      <c r="D2" s="30"/>
      <c r="E2" s="30"/>
      <c r="F2" s="30"/>
      <c r="G2" s="30"/>
      <c r="H2" s="30"/>
      <c r="I2" s="30"/>
    </row>
    <row r="3" spans="1:11" x14ac:dyDescent="0.2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</row>
    <row r="4" spans="1:11" x14ac:dyDescent="0.25">
      <c r="A4" t="s">
        <v>12</v>
      </c>
      <c r="B4">
        <f>INDEX($A$42:$K$58,MATCH($B$1,$A$42:$A$58,0),MATCH(B$3,$A$42:$K$42,0))</f>
        <v>12.777777777777779</v>
      </c>
      <c r="C4" s="5">
        <f>B4/SUM($B$4:$B$8)</f>
        <v>0.1277777777777778</v>
      </c>
      <c r="D4" s="28">
        <f t="shared" ref="D4:K4" si="0">INDEX($A$42:$K$58,MATCH($B$1,$A$42:$A$58,0),MATCH(D$3,$A$42:$K$42,0))</f>
        <v>3.7777777777777777</v>
      </c>
      <c r="E4" s="28">
        <f t="shared" si="0"/>
        <v>3.3333333333333335</v>
      </c>
      <c r="F4" s="28">
        <f t="shared" si="0"/>
        <v>2.5555555555555554</v>
      </c>
      <c r="G4" s="28">
        <f t="shared" si="0"/>
        <v>2.3333333333333335</v>
      </c>
      <c r="H4" s="28">
        <f t="shared" si="0"/>
        <v>3</v>
      </c>
      <c r="I4" s="28">
        <f t="shared" si="0"/>
        <v>2.3333333333333335</v>
      </c>
      <c r="J4" s="28">
        <f t="shared" si="0"/>
        <v>3.6666666666666665</v>
      </c>
      <c r="K4" s="28">
        <f t="shared" si="0"/>
        <v>3.4444444444444446</v>
      </c>
    </row>
    <row r="5" spans="1:11" x14ac:dyDescent="0.25">
      <c r="A5" t="s">
        <v>15</v>
      </c>
      <c r="B5">
        <f>INDEX($A$61:$K$77,MATCH($B$1,$A$61:$A$77,0),MATCH(B$3,$A$61:$K$61,0))</f>
        <v>28.888888888888889</v>
      </c>
      <c r="C5" s="5">
        <f t="shared" ref="C5:C8" si="1">B5/SUM($B$4:$B$8)</f>
        <v>0.28888888888888892</v>
      </c>
      <c r="D5" s="28">
        <f t="shared" ref="D5:K5" si="2">INDEX($A$61:$K$77,MATCH($B$1,$A$61:$A$77,0),MATCH(D$3,$A$61:$K$61,0))</f>
        <v>1.6666666666666667</v>
      </c>
      <c r="E5" s="28">
        <f t="shared" si="2"/>
        <v>3.3333333333333335</v>
      </c>
      <c r="F5" s="28">
        <f t="shared" si="2"/>
        <v>2.1111111111111112</v>
      </c>
      <c r="G5" s="28">
        <f t="shared" si="2"/>
        <v>3.1111111111111112</v>
      </c>
      <c r="H5" s="28">
        <f t="shared" si="2"/>
        <v>2.8888888888888888</v>
      </c>
      <c r="I5" s="28">
        <f t="shared" si="2"/>
        <v>4.333333333333333</v>
      </c>
      <c r="J5" s="28">
        <f t="shared" si="2"/>
        <v>1.6666666666666667</v>
      </c>
      <c r="K5" s="28">
        <f t="shared" si="2"/>
        <v>2.7777777777777777</v>
      </c>
    </row>
    <row r="6" spans="1:11" x14ac:dyDescent="0.25">
      <c r="A6" t="s">
        <v>17</v>
      </c>
      <c r="B6">
        <f>INDEX($A$80:$K$96,MATCH($B$1,$A$80:$A$96,0),MATCH(B$3,$A$80:$K$80,0))</f>
        <v>15</v>
      </c>
      <c r="C6" s="5">
        <f t="shared" si="1"/>
        <v>0.15</v>
      </c>
      <c r="D6" s="28">
        <f t="shared" ref="D6:K6" si="3">INDEX($A$80:$K$96,MATCH($B$1,$A$80:$A$96,0),MATCH(D$3,$A$80:$K$80,0))</f>
        <v>3.3333333333333335</v>
      </c>
      <c r="E6" s="28">
        <f t="shared" si="3"/>
        <v>2.6666666666666665</v>
      </c>
      <c r="F6" s="28">
        <f t="shared" si="3"/>
        <v>2</v>
      </c>
      <c r="G6" s="28">
        <f t="shared" si="3"/>
        <v>3</v>
      </c>
      <c r="H6" s="28">
        <f t="shared" si="3"/>
        <v>2.2222222222222223</v>
      </c>
      <c r="I6" s="28">
        <f t="shared" si="3"/>
        <v>2.7777777777777777</v>
      </c>
      <c r="J6" s="28">
        <f t="shared" si="3"/>
        <v>3.2222222222222223</v>
      </c>
      <c r="K6" s="28">
        <f t="shared" si="3"/>
        <v>2.5555555555555554</v>
      </c>
    </row>
    <row r="7" spans="1:11" x14ac:dyDescent="0.25">
      <c r="A7" t="s">
        <v>16</v>
      </c>
      <c r="B7">
        <f>INDEX($A$23:$K$39,MATCH($B$1,$A$23:$A$39,0),MATCH(B$3,$A$23:$K$23,0))</f>
        <v>25</v>
      </c>
      <c r="C7" s="5">
        <f t="shared" si="1"/>
        <v>0.25</v>
      </c>
      <c r="D7" s="28">
        <f t="shared" ref="D7:K7" si="4">INDEX($A$23:$K$39,MATCH($B$1,$A$23:$A$39,0),MATCH(D$3,$A$23:$K$23,0))</f>
        <v>1.7777777777777777</v>
      </c>
      <c r="E7" s="28">
        <f t="shared" si="4"/>
        <v>3.3333333333333335</v>
      </c>
      <c r="F7" s="28">
        <f t="shared" si="4"/>
        <v>2.5555555555555554</v>
      </c>
      <c r="G7" s="28">
        <f t="shared" si="4"/>
        <v>2.5555555555555554</v>
      </c>
      <c r="H7" s="28">
        <f t="shared" si="4"/>
        <v>2.6666666666666665</v>
      </c>
      <c r="I7" s="28">
        <f t="shared" si="4"/>
        <v>3.3333333333333335</v>
      </c>
      <c r="J7" s="28">
        <f t="shared" si="4"/>
        <v>1.8888888888888888</v>
      </c>
      <c r="K7" s="28">
        <f t="shared" si="4"/>
        <v>2.6666666666666665</v>
      </c>
    </row>
    <row r="8" spans="1:11" x14ac:dyDescent="0.25">
      <c r="A8" t="s">
        <v>21</v>
      </c>
      <c r="B8">
        <f>INDEX($A$99:$K$115,MATCH($B$1,$A$99:$A$115,0),MATCH(B$3,$A$99:$K$99,0))</f>
        <v>18.333333333333332</v>
      </c>
      <c r="C8" s="5">
        <f t="shared" si="1"/>
        <v>0.18333333333333332</v>
      </c>
      <c r="D8" s="28">
        <f t="shared" ref="D8:K8" si="5">INDEX($A$99:$K$115,MATCH($B$1,$A$99:$A$115,0),MATCH(D$3,$A$99:$K$99,0))</f>
        <v>2.4444444444444446</v>
      </c>
      <c r="E8" s="28">
        <f t="shared" si="5"/>
        <v>3.2222222222222223</v>
      </c>
      <c r="F8" s="28">
        <f t="shared" si="5"/>
        <v>2.7777777777777777</v>
      </c>
      <c r="G8" s="28">
        <f t="shared" si="5"/>
        <v>2.8888888888888888</v>
      </c>
      <c r="H8" s="28">
        <f t="shared" si="5"/>
        <v>2.6666666666666665</v>
      </c>
      <c r="I8" s="28">
        <f t="shared" si="5"/>
        <v>3.4444444444444446</v>
      </c>
      <c r="J8" s="28">
        <f t="shared" si="5"/>
        <v>2.6666666666666665</v>
      </c>
      <c r="K8" s="28">
        <f t="shared" si="5"/>
        <v>2.8888888888888888</v>
      </c>
    </row>
    <row r="9" spans="1:11" x14ac:dyDescent="0.25">
      <c r="A9" s="2" t="s">
        <v>27</v>
      </c>
      <c r="B9" s="2"/>
      <c r="C9" s="25"/>
      <c r="D9" s="29">
        <f>SUMPRODUCT($C$4:$C$8,D4:D8)</f>
        <v>2.3567901234567903</v>
      </c>
      <c r="E9" s="29">
        <f t="shared" ref="E9:K9" si="6">SUMPRODUCT($C$4:$C$8,E4:E8)</f>
        <v>3.2129629629629628</v>
      </c>
      <c r="F9" s="29">
        <f t="shared" si="6"/>
        <v>2.384567901234568</v>
      </c>
      <c r="G9" s="29">
        <f t="shared" si="6"/>
        <v>2.8154320987654322</v>
      </c>
      <c r="H9" s="29">
        <f t="shared" si="6"/>
        <v>2.7067901234567904</v>
      </c>
      <c r="I9" s="29">
        <f t="shared" si="6"/>
        <v>3.4314814814814816</v>
      </c>
      <c r="J9" s="29">
        <f t="shared" si="6"/>
        <v>2.3944444444444448</v>
      </c>
      <c r="K9" s="29">
        <f t="shared" si="6"/>
        <v>2.8222222222222224</v>
      </c>
    </row>
    <row r="10" spans="1:11" x14ac:dyDescent="0.25">
      <c r="C10" s="5" t="s">
        <v>56</v>
      </c>
      <c r="D10">
        <f>STDEV(D4:D8)</f>
        <v>0.93491928746500441</v>
      </c>
      <c r="E10">
        <f t="shared" ref="E10:K10" si="7">STDEV(E4:E8)</f>
        <v>0.28974232912011788</v>
      </c>
      <c r="F10">
        <f t="shared" si="7"/>
        <v>0.32960882164869387</v>
      </c>
      <c r="G10">
        <f t="shared" si="7"/>
        <v>0.32394177193585005</v>
      </c>
      <c r="H10">
        <f t="shared" si="7"/>
        <v>0.29814239699997191</v>
      </c>
      <c r="I10">
        <f t="shared" si="7"/>
        <v>0.75522868746517635</v>
      </c>
      <c r="J10">
        <f t="shared" si="7"/>
        <v>0.8520128672302586</v>
      </c>
      <c r="K10">
        <f t="shared" si="7"/>
        <v>0.34605358894216437</v>
      </c>
    </row>
    <row r="11" spans="1:11" x14ac:dyDescent="0.25">
      <c r="C11" s="5"/>
    </row>
    <row r="12" spans="1:11" x14ac:dyDescent="0.25">
      <c r="A12" s="1" t="s">
        <v>25</v>
      </c>
      <c r="B12" s="1" t="s">
        <v>24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5">
      <c r="B13" s="30" t="s">
        <v>28</v>
      </c>
      <c r="C13" s="30"/>
      <c r="D13" s="30"/>
      <c r="E13" s="30"/>
      <c r="F13" s="30"/>
      <c r="G13" s="30"/>
      <c r="H13" s="30"/>
      <c r="I13" s="30"/>
    </row>
    <row r="14" spans="1:11" x14ac:dyDescent="0.25">
      <c r="A14" s="4" t="s">
        <v>0</v>
      </c>
      <c r="B14" s="4" t="s">
        <v>10</v>
      </c>
      <c r="C14" s="4" t="s">
        <v>26</v>
      </c>
      <c r="D14" s="4" t="s">
        <v>1</v>
      </c>
      <c r="E14" s="12" t="s">
        <v>37</v>
      </c>
      <c r="F14" s="4" t="s">
        <v>3</v>
      </c>
      <c r="G14" s="4" t="s">
        <v>38</v>
      </c>
      <c r="H14" s="4" t="s">
        <v>5</v>
      </c>
      <c r="I14" s="4" t="s">
        <v>41</v>
      </c>
      <c r="J14" s="4" t="s">
        <v>42</v>
      </c>
      <c r="K14" s="4" t="s">
        <v>39</v>
      </c>
    </row>
    <row r="15" spans="1:11" x14ac:dyDescent="0.25">
      <c r="A15" t="s">
        <v>12</v>
      </c>
      <c r="B15">
        <f>INDEX($A$42:$K$58,MATCH($B$12,$A$42:$A$58,0),MATCH(B$14,$A$42:$K$42,0))</f>
        <v>10</v>
      </c>
      <c r="C15" s="5">
        <f>B15/SUM($B$4:$B$8)</f>
        <v>0.1</v>
      </c>
      <c r="D15">
        <f t="shared" ref="D15:K15" si="8">INDEX($A$42:$K$58,MATCH($B$12,$A$42:$A$58,0),MATCH(D$14,$A$42:$K$42,0))</f>
        <v>4</v>
      </c>
      <c r="E15">
        <f t="shared" si="8"/>
        <v>3</v>
      </c>
      <c r="F15">
        <f t="shared" si="8"/>
        <v>3</v>
      </c>
      <c r="G15">
        <f t="shared" si="8"/>
        <v>2</v>
      </c>
      <c r="H15">
        <f t="shared" si="8"/>
        <v>3</v>
      </c>
      <c r="I15">
        <f t="shared" si="8"/>
        <v>2</v>
      </c>
      <c r="J15">
        <f t="shared" si="8"/>
        <v>4</v>
      </c>
      <c r="K15">
        <f t="shared" si="8"/>
        <v>3</v>
      </c>
    </row>
    <row r="16" spans="1:11" x14ac:dyDescent="0.25">
      <c r="A16" t="s">
        <v>15</v>
      </c>
      <c r="B16">
        <f>INDEX($A$61:$K$77,MATCH($B$12,$A$61:$A$77,0),MATCH(B$14,$A$61:$K$61,0))</f>
        <v>25</v>
      </c>
      <c r="C16" s="5">
        <f t="shared" ref="C16:C19" si="9">B16/SUM($B$4:$B$8)</f>
        <v>0.25</v>
      </c>
      <c r="D16">
        <f t="shared" ref="D16:K16" si="10">INDEX($A$61:$K$77,MATCH($B$12,$A$61:$A$77,0),MATCH(D$14,$A$61:$K$61,0))</f>
        <v>2</v>
      </c>
      <c r="E16">
        <f t="shared" si="10"/>
        <v>3</v>
      </c>
      <c r="F16">
        <f t="shared" si="10"/>
        <v>2</v>
      </c>
      <c r="G16">
        <f t="shared" si="10"/>
        <v>3</v>
      </c>
      <c r="H16">
        <f t="shared" si="10"/>
        <v>3</v>
      </c>
      <c r="I16">
        <f t="shared" si="10"/>
        <v>5</v>
      </c>
      <c r="J16">
        <f t="shared" si="10"/>
        <v>2</v>
      </c>
      <c r="K16">
        <f t="shared" si="10"/>
        <v>3</v>
      </c>
    </row>
    <row r="17" spans="1:11" x14ac:dyDescent="0.25">
      <c r="A17" t="s">
        <v>17</v>
      </c>
      <c r="B17">
        <f>INDEX($A$80:$K$96,MATCH($B$12,$A$80:$A$96,0),MATCH(B$14,$A$80:$K$80,0))</f>
        <v>15</v>
      </c>
      <c r="C17" s="5">
        <f t="shared" si="9"/>
        <v>0.15</v>
      </c>
      <c r="D17">
        <f t="shared" ref="D17:K17" si="11">INDEX($A$80:$K$96,MATCH($B$12,$A$80:$A$96,0),MATCH(D$14,$A$80:$K$80,0))</f>
        <v>3</v>
      </c>
      <c r="E17">
        <f t="shared" si="11"/>
        <v>2</v>
      </c>
      <c r="F17">
        <f t="shared" si="11"/>
        <v>2</v>
      </c>
      <c r="G17">
        <f t="shared" si="11"/>
        <v>3</v>
      </c>
      <c r="H17">
        <f t="shared" si="11"/>
        <v>2</v>
      </c>
      <c r="I17">
        <f t="shared" si="11"/>
        <v>3</v>
      </c>
      <c r="J17">
        <f t="shared" si="11"/>
        <v>3</v>
      </c>
      <c r="K17">
        <f t="shared" si="11"/>
        <v>2</v>
      </c>
    </row>
    <row r="18" spans="1:11" x14ac:dyDescent="0.25">
      <c r="A18" t="s">
        <v>16</v>
      </c>
      <c r="B18">
        <f>INDEX($A$23:$K$39,MATCH($B$12,$A$23:$A$39,0),MATCH(B$14,$A$23:$K$23,0))</f>
        <v>25</v>
      </c>
      <c r="C18" s="5">
        <f t="shared" si="9"/>
        <v>0.25</v>
      </c>
      <c r="D18">
        <f t="shared" ref="D18:K18" si="12">INDEX($A$23:$K$39,MATCH($B$12,$A$23:$A$39,0),MATCH(D$14,$A$23:$K$23,0))</f>
        <v>1</v>
      </c>
      <c r="E18">
        <f t="shared" si="12"/>
        <v>3</v>
      </c>
      <c r="F18">
        <f t="shared" si="12"/>
        <v>2</v>
      </c>
      <c r="G18">
        <f t="shared" si="12"/>
        <v>2</v>
      </c>
      <c r="H18">
        <f t="shared" si="12"/>
        <v>3</v>
      </c>
      <c r="I18">
        <f t="shared" si="12"/>
        <v>4</v>
      </c>
      <c r="J18">
        <f t="shared" si="12"/>
        <v>2</v>
      </c>
      <c r="K18">
        <f t="shared" si="12"/>
        <v>3</v>
      </c>
    </row>
    <row r="19" spans="1:11" x14ac:dyDescent="0.25">
      <c r="A19" t="s">
        <v>21</v>
      </c>
      <c r="B19">
        <f>INDEX($A$99:$K$115,MATCH($B$12,$A$99:$A$115,0),MATCH(B$14,$A$99:$K$99,0))</f>
        <v>10</v>
      </c>
      <c r="C19" s="5">
        <f t="shared" si="9"/>
        <v>0.1</v>
      </c>
      <c r="D19">
        <f t="shared" ref="D19:K19" si="13">INDEX($A$99:$K$115,MATCH($B$12,$A$99:$A$115,0),MATCH(D$14,$A$99:$K$99,0))</f>
        <v>1</v>
      </c>
      <c r="E19">
        <f t="shared" si="13"/>
        <v>2</v>
      </c>
      <c r="F19">
        <f t="shared" si="13"/>
        <v>2</v>
      </c>
      <c r="G19">
        <f t="shared" si="13"/>
        <v>2</v>
      </c>
      <c r="H19">
        <f t="shared" si="13"/>
        <v>2</v>
      </c>
      <c r="I19">
        <f t="shared" si="13"/>
        <v>2.5</v>
      </c>
      <c r="J19">
        <f t="shared" si="13"/>
        <v>1</v>
      </c>
      <c r="K19">
        <f t="shared" si="13"/>
        <v>2.5</v>
      </c>
    </row>
    <row r="20" spans="1:11" x14ac:dyDescent="0.25">
      <c r="A20" s="2" t="s">
        <v>27</v>
      </c>
      <c r="B20" s="2"/>
      <c r="C20" s="2"/>
      <c r="D20" s="6">
        <f>SUMPRODUCT($C$4:$C$8,D15:D19)</f>
        <v>1.9722222222222223</v>
      </c>
      <c r="E20" s="6">
        <f t="shared" ref="E20" si="14">SUMPRODUCT($C$4:$C$8,E15:E19)</f>
        <v>2.6666666666666665</v>
      </c>
      <c r="F20" s="6">
        <f t="shared" ref="F20" si="15">SUMPRODUCT($C$4:$C$8,F15:F19)</f>
        <v>2.1277777777777778</v>
      </c>
      <c r="G20" s="6">
        <f t="shared" ref="G20" si="16">SUMPRODUCT($C$4:$C$8,G15:G19)</f>
        <v>2.4388888888888887</v>
      </c>
      <c r="H20" s="6">
        <f t="shared" ref="H20" si="17">SUMPRODUCT($C$4:$C$8,H15:H19)</f>
        <v>2.6666666666666665</v>
      </c>
      <c r="I20" s="6">
        <f t="shared" ref="I20" si="18">SUMPRODUCT($C$4:$C$8,I15:I19)</f>
        <v>3.6083333333333338</v>
      </c>
      <c r="J20" s="6">
        <f t="shared" ref="J20" si="19">SUMPRODUCT($C$4:$C$8,J15:J19)</f>
        <v>2.2222222222222219</v>
      </c>
      <c r="K20" s="6">
        <f t="shared" ref="K20" si="20">SUMPRODUCT($C$4:$C$8,K15:K19)</f>
        <v>2.7583333333333333</v>
      </c>
    </row>
    <row r="23" spans="1:11" x14ac:dyDescent="0.25">
      <c r="A23" s="1" t="s">
        <v>22</v>
      </c>
      <c r="B23" s="1" t="s">
        <v>0</v>
      </c>
      <c r="C23" s="1" t="s">
        <v>1</v>
      </c>
      <c r="D23" s="1" t="s">
        <v>37</v>
      </c>
      <c r="E23" s="1" t="s">
        <v>3</v>
      </c>
      <c r="F23" s="1" t="s">
        <v>38</v>
      </c>
      <c r="G23" s="1" t="s">
        <v>5</v>
      </c>
      <c r="H23" s="1" t="s">
        <v>41</v>
      </c>
      <c r="I23" s="1" t="s">
        <v>42</v>
      </c>
      <c r="J23" s="13" t="s">
        <v>39</v>
      </c>
      <c r="K23" s="1" t="s">
        <v>10</v>
      </c>
    </row>
    <row r="24" spans="1:11" x14ac:dyDescent="0.25">
      <c r="A24">
        <v>1</v>
      </c>
      <c r="B24" t="s">
        <v>16</v>
      </c>
      <c r="C24" cm="1">
        <f t="array" ref="C24">INDEX(Medium_Complexity!$A$2:$K$72,MATCH(1,INDEX((Analysis_Medium!$A24=Medium_Complexity!$A$2:$A$72)*(Analysis_Medium!$B24=Medium_Complexity!$B$2:$B$72),0,1),0),MATCH(Analysis_Medium!C$23,Medium_Complexity!$A$2:$K$2,0))</f>
        <v>3</v>
      </c>
      <c r="D24" cm="1">
        <f t="array" ref="D24">INDEX(Medium_Complexity!$A$2:$K$72,MATCH(1,INDEX((Analysis_Medium!$A24=Medium_Complexity!$A$2:$A$72)*(Analysis_Medium!$B24=Medium_Complexity!$B$2:$B$72),0,1),0),MATCH(Analysis_Medium!D$23,Medium_Complexity!$A$2:$K$2,0))</f>
        <v>4</v>
      </c>
      <c r="E24" cm="1">
        <f t="array" ref="E24">INDEX(Medium_Complexity!$A$2:$K$72,MATCH(1,INDEX((Analysis_Medium!$A24=Medium_Complexity!$A$2:$A$72)*(Analysis_Medium!$B24=Medium_Complexity!$B$2:$B$72),0,1),0),MATCH(Analysis_Medium!E$23,Medium_Complexity!$A$2:$K$2,0))</f>
        <v>5</v>
      </c>
      <c r="F24" cm="1">
        <f t="array" ref="F24">INDEX(Medium_Complexity!$A$2:$K$72,MATCH(1,INDEX((Analysis_Medium!$A24=Medium_Complexity!$A$2:$A$72)*(Analysis_Medium!$B24=Medium_Complexity!$B$2:$B$72),0,1),0),MATCH(Analysis_Medium!F$23,Medium_Complexity!$A$2:$K$2,0))</f>
        <v>2</v>
      </c>
      <c r="G24" cm="1">
        <f t="array" ref="G24">INDEX(Medium_Complexity!$A$2:$K$72,MATCH(1,INDEX((Analysis_Medium!$A24=Medium_Complexity!$A$2:$A$72)*(Analysis_Medium!$B24=Medium_Complexity!$B$2:$B$72),0,1),0),MATCH(Analysis_Medium!G$23,Medium_Complexity!$A$2:$K$2,0))</f>
        <v>2</v>
      </c>
      <c r="H24" cm="1">
        <f t="array" ref="H24">INDEX(Medium_Complexity!$A$2:$K$72,MATCH(1,INDEX((Analysis_Medium!$A24=Medium_Complexity!$A$2:$A$72)*(Analysis_Medium!$B24=Medium_Complexity!$B$2:$B$72),0,1),0),MATCH(Analysis_Medium!H$23,Medium_Complexity!$A$2:$K$2,0))</f>
        <v>4</v>
      </c>
      <c r="I24" cm="1">
        <f t="array" ref="I24">INDEX(Medium_Complexity!$A$2:$K$72,MATCH(1,INDEX((Analysis_Medium!$A24=Medium_Complexity!$A$2:$A$72)*(Analysis_Medium!$B24=Medium_Complexity!$B$2:$B$72),0,1),0),MATCH(Analysis_Medium!I$23,Medium_Complexity!$A$2:$K$2,0))</f>
        <v>3</v>
      </c>
      <c r="J24" cm="1">
        <f t="array" ref="J24">INDEX(Medium_Complexity!$A$2:$K$72,MATCH(1,INDEX((Analysis_Medium!$A24=Medium_Complexity!$A$2:$A$72)*(Analysis_Medium!$B24=Medium_Complexity!$B$2:$B$72),0,1),0),MATCH(Analysis_Medium!J$23,Medium_Complexity!$A$2:$K$2,0))</f>
        <v>3</v>
      </c>
      <c r="K24" cm="1">
        <f t="array" ref="K24">INDEX(Medium_Complexity!$A$2:$M$72,MATCH(1,INDEX((Analysis_Medium!$A24=Medium_Complexity!$A$2:$A$72)*(Analysis_Medium!$B24=Medium_Complexity!$B$2:$B$72),0,1),0),MATCH(Analysis_Medium!K$23,Medium_Complexity!$A$2:$M$2,0))</f>
        <v>25</v>
      </c>
    </row>
    <row r="25" spans="1:11" x14ac:dyDescent="0.25">
      <c r="A25">
        <f>A24+1</f>
        <v>2</v>
      </c>
      <c r="B25" t="s">
        <v>16</v>
      </c>
      <c r="C25" cm="1">
        <f t="array" ref="C25">INDEX(Medium_Complexity!$A$2:$K$72,MATCH(1,INDEX((Analysis_Medium!$A25=Medium_Complexity!$A$2:$A$72)*(Analysis_Medium!$B25=Medium_Complexity!$B$2:$B$72),0,1),0),MATCH(Analysis_Medium!C$23,Medium_Complexity!$A$2:$K$2,0))</f>
        <v>1</v>
      </c>
      <c r="D25" cm="1">
        <f t="array" ref="D25">INDEX(Medium_Complexity!$A$2:$K$72,MATCH(1,INDEX((Analysis_Medium!$A25=Medium_Complexity!$A$2:$A$72)*(Analysis_Medium!$B25=Medium_Complexity!$B$2:$B$72),0,1),0),MATCH(Analysis_Medium!D$23,Medium_Complexity!$A$2:$K$2,0))</f>
        <v>2</v>
      </c>
      <c r="E25" cm="1">
        <f t="array" ref="E25">INDEX(Medium_Complexity!$A$2:$K$72,MATCH(1,INDEX((Analysis_Medium!$A25=Medium_Complexity!$A$2:$A$72)*(Analysis_Medium!$B25=Medium_Complexity!$B$2:$B$72),0,1),0),MATCH(Analysis_Medium!E$23,Medium_Complexity!$A$2:$K$2,0))</f>
        <v>1</v>
      </c>
      <c r="F25" cm="1">
        <f t="array" ref="F25">INDEX(Medium_Complexity!$A$2:$K$72,MATCH(1,INDEX((Analysis_Medium!$A25=Medium_Complexity!$A$2:$A$72)*(Analysis_Medium!$B25=Medium_Complexity!$B$2:$B$72),0,1),0),MATCH(Analysis_Medium!F$23,Medium_Complexity!$A$2:$K$2,0))</f>
        <v>2</v>
      </c>
      <c r="G25" cm="1">
        <f t="array" ref="G25">INDEX(Medium_Complexity!$A$2:$K$72,MATCH(1,INDEX((Analysis_Medium!$A25=Medium_Complexity!$A$2:$A$72)*(Analysis_Medium!$B25=Medium_Complexity!$B$2:$B$72),0,1),0),MATCH(Analysis_Medium!G$23,Medium_Complexity!$A$2:$K$2,0))</f>
        <v>2</v>
      </c>
      <c r="H25" cm="1">
        <f t="array" ref="H25">INDEX(Medium_Complexity!$A$2:$K$72,MATCH(1,INDEX((Analysis_Medium!$A25=Medium_Complexity!$A$2:$A$72)*(Analysis_Medium!$B25=Medium_Complexity!$B$2:$B$72),0,1),0),MATCH(Analysis_Medium!H$23,Medium_Complexity!$A$2:$K$2,0))</f>
        <v>5</v>
      </c>
      <c r="I25" cm="1">
        <f t="array" ref="I25">INDEX(Medium_Complexity!$A$2:$K$72,MATCH(1,INDEX((Analysis_Medium!$A25=Medium_Complexity!$A$2:$A$72)*(Analysis_Medium!$B25=Medium_Complexity!$B$2:$B$72),0,1),0),MATCH(Analysis_Medium!I$23,Medium_Complexity!$A$2:$K$2,0))</f>
        <v>2</v>
      </c>
      <c r="J25" cm="1">
        <f t="array" ref="J25">INDEX(Medium_Complexity!$A$2:$K$72,MATCH(1,INDEX((Analysis_Medium!$A25=Medium_Complexity!$A$2:$A$72)*(Analysis_Medium!$B25=Medium_Complexity!$B$2:$B$72),0,1),0),MATCH(Analysis_Medium!J$23,Medium_Complexity!$A$2:$K$2,0))</f>
        <v>1</v>
      </c>
      <c r="K25" cm="1">
        <f t="array" ref="K25">INDEX(Medium_Complexity!$A$2:$M$72,MATCH(1,INDEX((Analysis_Medium!$A25=Medium_Complexity!$A$2:$A$72)*(Analysis_Medium!$B25=Medium_Complexity!$B$2:$B$72),0,1),0),MATCH(Analysis_Medium!K$23,Medium_Complexity!$A$2:$M$2,0))</f>
        <v>30</v>
      </c>
    </row>
    <row r="26" spans="1:11" x14ac:dyDescent="0.25">
      <c r="A26">
        <f t="shared" ref="A26:A37" si="21">A25+1</f>
        <v>3</v>
      </c>
      <c r="B26" t="s">
        <v>16</v>
      </c>
      <c r="C26" cm="1">
        <f t="array" ref="C26">INDEX(Medium_Complexity!$A$2:$K$72,MATCH(1,INDEX((Analysis_Medium!$A26=Medium_Complexity!$A$2:$A$72)*(Analysis_Medium!$B26=Medium_Complexity!$B$2:$B$72),0,1),0),MATCH(Analysis_Medium!C$23,Medium_Complexity!$A$2:$K$2,0))</f>
        <v>2</v>
      </c>
      <c r="D26" cm="1">
        <f t="array" ref="D26">INDEX(Medium_Complexity!$A$2:$K$72,MATCH(1,INDEX((Analysis_Medium!$A26=Medium_Complexity!$A$2:$A$72)*(Analysis_Medium!$B26=Medium_Complexity!$B$2:$B$72),0,1),0),MATCH(Analysis_Medium!D$23,Medium_Complexity!$A$2:$K$2,0))</f>
        <v>3</v>
      </c>
      <c r="E26" cm="1">
        <f t="array" ref="E26">INDEX(Medium_Complexity!$A$2:$K$72,MATCH(1,INDEX((Analysis_Medium!$A26=Medium_Complexity!$A$2:$A$72)*(Analysis_Medium!$B26=Medium_Complexity!$B$2:$B$72),0,1),0),MATCH(Analysis_Medium!E$23,Medium_Complexity!$A$2:$K$2,0))</f>
        <v>3</v>
      </c>
      <c r="F26" cm="1">
        <f t="array" ref="F26">INDEX(Medium_Complexity!$A$2:$K$72,MATCH(1,INDEX((Analysis_Medium!$A26=Medium_Complexity!$A$2:$A$72)*(Analysis_Medium!$B26=Medium_Complexity!$B$2:$B$72),0,1),0),MATCH(Analysis_Medium!F$23,Medium_Complexity!$A$2:$K$2,0))</f>
        <v>2</v>
      </c>
      <c r="G26" cm="1">
        <f t="array" ref="G26">INDEX(Medium_Complexity!$A$2:$K$72,MATCH(1,INDEX((Analysis_Medium!$A26=Medium_Complexity!$A$2:$A$72)*(Analysis_Medium!$B26=Medium_Complexity!$B$2:$B$72),0,1),0),MATCH(Analysis_Medium!G$23,Medium_Complexity!$A$2:$K$2,0))</f>
        <v>3</v>
      </c>
      <c r="H26" cm="1">
        <f t="array" ref="H26">INDEX(Medium_Complexity!$A$2:$K$72,MATCH(1,INDEX((Analysis_Medium!$A26=Medium_Complexity!$A$2:$A$72)*(Analysis_Medium!$B26=Medium_Complexity!$B$2:$B$72),0,1),0),MATCH(Analysis_Medium!H$23,Medium_Complexity!$A$2:$K$2,0))</f>
        <v>5</v>
      </c>
      <c r="I26" cm="1">
        <f t="array" ref="I26">INDEX(Medium_Complexity!$A$2:$K$72,MATCH(1,INDEX((Analysis_Medium!$A26=Medium_Complexity!$A$2:$A$72)*(Analysis_Medium!$B26=Medium_Complexity!$B$2:$B$72),0,1),0),MATCH(Analysis_Medium!I$23,Medium_Complexity!$A$2:$K$2,0))</f>
        <v>2</v>
      </c>
      <c r="J26" cm="1">
        <f t="array" ref="J26">INDEX(Medium_Complexity!$A$2:$K$72,MATCH(1,INDEX((Analysis_Medium!$A26=Medium_Complexity!$A$2:$A$72)*(Analysis_Medium!$B26=Medium_Complexity!$B$2:$B$72),0,1),0),MATCH(Analysis_Medium!J$23,Medium_Complexity!$A$2:$K$2,0))</f>
        <v>3</v>
      </c>
      <c r="K26" cm="1">
        <f t="array" ref="K26">INDEX(Medium_Complexity!$A$2:$M$72,MATCH(1,INDEX((Analysis_Medium!$A26=Medium_Complexity!$A$2:$A$72)*(Analysis_Medium!$B26=Medium_Complexity!$B$2:$B$72),0,1),0),MATCH(Analysis_Medium!K$23,Medium_Complexity!$A$2:$M$2,0))</f>
        <v>15</v>
      </c>
    </row>
    <row r="27" spans="1:11" x14ac:dyDescent="0.25">
      <c r="A27">
        <f t="shared" si="21"/>
        <v>4</v>
      </c>
      <c r="B27" t="s">
        <v>16</v>
      </c>
      <c r="C27" cm="1">
        <f t="array" ref="C27">INDEX(Medium_Complexity!$A$2:$K$72,MATCH(1,INDEX((Analysis_Medium!$A27=Medium_Complexity!$A$2:$A$72)*(Analysis_Medium!$B27=Medium_Complexity!$B$2:$B$72),0,1),0),MATCH(Analysis_Medium!C$23,Medium_Complexity!$A$2:$K$2,0))</f>
        <v>2</v>
      </c>
      <c r="D27" cm="1">
        <f t="array" ref="D27">INDEX(Medium_Complexity!$A$2:$K$72,MATCH(1,INDEX((Analysis_Medium!$A27=Medium_Complexity!$A$2:$A$72)*(Analysis_Medium!$B27=Medium_Complexity!$B$2:$B$72),0,1),0),MATCH(Analysis_Medium!D$23,Medium_Complexity!$A$2:$K$2,0))</f>
        <v>3</v>
      </c>
      <c r="E27" cm="1">
        <f t="array" ref="E27">INDEX(Medium_Complexity!$A$2:$K$72,MATCH(1,INDEX((Analysis_Medium!$A27=Medium_Complexity!$A$2:$A$72)*(Analysis_Medium!$B27=Medium_Complexity!$B$2:$B$72),0,1),0),MATCH(Analysis_Medium!E$23,Medium_Complexity!$A$2:$K$2,0))</f>
        <v>4</v>
      </c>
      <c r="F27" cm="1">
        <f t="array" ref="F27">INDEX(Medium_Complexity!$A$2:$K$72,MATCH(1,INDEX((Analysis_Medium!$A27=Medium_Complexity!$A$2:$A$72)*(Analysis_Medium!$B27=Medium_Complexity!$B$2:$B$72),0,1),0),MATCH(Analysis_Medium!F$23,Medium_Complexity!$A$2:$K$2,0))</f>
        <v>4</v>
      </c>
      <c r="G27" cm="1">
        <f t="array" ref="G27">INDEX(Medium_Complexity!$A$2:$K$72,MATCH(1,INDEX((Analysis_Medium!$A27=Medium_Complexity!$A$2:$A$72)*(Analysis_Medium!$B27=Medium_Complexity!$B$2:$B$72),0,1),0),MATCH(Analysis_Medium!G$23,Medium_Complexity!$A$2:$K$2,0))</f>
        <v>3</v>
      </c>
      <c r="H27" cm="1">
        <f t="array" ref="H27">INDEX(Medium_Complexity!$A$2:$K$72,MATCH(1,INDEX((Analysis_Medium!$A27=Medium_Complexity!$A$2:$A$72)*(Analysis_Medium!$B27=Medium_Complexity!$B$2:$B$72),0,1),0),MATCH(Analysis_Medium!H$23,Medium_Complexity!$A$2:$K$2,0))</f>
        <v>3</v>
      </c>
      <c r="I27" cm="1">
        <f t="array" ref="I27">INDEX(Medium_Complexity!$A$2:$K$72,MATCH(1,INDEX((Analysis_Medium!$A27=Medium_Complexity!$A$2:$A$72)*(Analysis_Medium!$B27=Medium_Complexity!$B$2:$B$72),0,1),0),MATCH(Analysis_Medium!I$23,Medium_Complexity!$A$2:$K$2,0))</f>
        <v>2</v>
      </c>
      <c r="J27" cm="1">
        <f t="array" ref="J27">INDEX(Medium_Complexity!$A$2:$K$72,MATCH(1,INDEX((Analysis_Medium!$A27=Medium_Complexity!$A$2:$A$72)*(Analysis_Medium!$B27=Medium_Complexity!$B$2:$B$72),0,1),0),MATCH(Analysis_Medium!J$23,Medium_Complexity!$A$2:$K$2,0))</f>
        <v>3</v>
      </c>
      <c r="K27" cm="1">
        <f t="array" ref="K27">INDEX(Medium_Complexity!$A$2:$M$72,MATCH(1,INDEX((Analysis_Medium!$A27=Medium_Complexity!$A$2:$A$72)*(Analysis_Medium!$B27=Medium_Complexity!$B$2:$B$72),0,1),0),MATCH(Analysis_Medium!K$23,Medium_Complexity!$A$2:$M$2,0))</f>
        <v>30</v>
      </c>
    </row>
    <row r="28" spans="1:11" x14ac:dyDescent="0.25">
      <c r="A28">
        <f t="shared" si="21"/>
        <v>5</v>
      </c>
      <c r="B28" t="s">
        <v>16</v>
      </c>
      <c r="C28" cm="1">
        <f t="array" ref="C28">INDEX(Medium_Complexity!$A$2:$K$72,MATCH(1,INDEX((Analysis_Medium!$A28=Medium_Complexity!$A$2:$A$72)*(Analysis_Medium!$B28=Medium_Complexity!$B$2:$B$72),0,1),0),MATCH(Analysis_Medium!C$23,Medium_Complexity!$A$2:$K$2,0))</f>
        <v>1</v>
      </c>
      <c r="D28" cm="1">
        <f t="array" ref="D28">INDEX(Medium_Complexity!$A$2:$K$72,MATCH(1,INDEX((Analysis_Medium!$A28=Medium_Complexity!$A$2:$A$72)*(Analysis_Medium!$B28=Medium_Complexity!$B$2:$B$72),0,1),0),MATCH(Analysis_Medium!D$23,Medium_Complexity!$A$2:$K$2,0))</f>
        <v>3</v>
      </c>
      <c r="E28" cm="1">
        <f t="array" ref="E28">INDEX(Medium_Complexity!$A$2:$K$72,MATCH(1,INDEX((Analysis_Medium!$A28=Medium_Complexity!$A$2:$A$72)*(Analysis_Medium!$B28=Medium_Complexity!$B$2:$B$72),0,1),0),MATCH(Analysis_Medium!E$23,Medium_Complexity!$A$2:$K$2,0))</f>
        <v>1</v>
      </c>
      <c r="F28" cm="1">
        <f t="array" ref="F28">INDEX(Medium_Complexity!$A$2:$K$72,MATCH(1,INDEX((Analysis_Medium!$A28=Medium_Complexity!$A$2:$A$72)*(Analysis_Medium!$B28=Medium_Complexity!$B$2:$B$72),0,1),0),MATCH(Analysis_Medium!F$23,Medium_Complexity!$A$2:$K$2,0))</f>
        <v>3</v>
      </c>
      <c r="G28" cm="1">
        <f t="array" ref="G28">INDEX(Medium_Complexity!$A$2:$K$72,MATCH(1,INDEX((Analysis_Medium!$A28=Medium_Complexity!$A$2:$A$72)*(Analysis_Medium!$B28=Medium_Complexity!$B$2:$B$72),0,1),0),MATCH(Analysis_Medium!G$23,Medium_Complexity!$A$2:$K$2,0))</f>
        <v>1</v>
      </c>
      <c r="H28" cm="1">
        <f t="array" ref="H28">INDEX(Medium_Complexity!$A$2:$K$72,MATCH(1,INDEX((Analysis_Medium!$A28=Medium_Complexity!$A$2:$A$72)*(Analysis_Medium!$B28=Medium_Complexity!$B$2:$B$72),0,1),0),MATCH(Analysis_Medium!H$23,Medium_Complexity!$A$2:$K$2,0))</f>
        <v>1</v>
      </c>
      <c r="I28" cm="1">
        <f t="array" ref="I28">INDEX(Medium_Complexity!$A$2:$K$72,MATCH(1,INDEX((Analysis_Medium!$A28=Medium_Complexity!$A$2:$A$72)*(Analysis_Medium!$B28=Medium_Complexity!$B$2:$B$72),0,1),0),MATCH(Analysis_Medium!I$23,Medium_Complexity!$A$2:$K$2,0))</f>
        <v>2</v>
      </c>
      <c r="J28" cm="1">
        <f t="array" ref="J28">INDEX(Medium_Complexity!$A$2:$K$72,MATCH(1,INDEX((Analysis_Medium!$A28=Medium_Complexity!$A$2:$A$72)*(Analysis_Medium!$B28=Medium_Complexity!$B$2:$B$72),0,1),0),MATCH(Analysis_Medium!J$23,Medium_Complexity!$A$2:$K$2,0))</f>
        <v>1</v>
      </c>
      <c r="K28" cm="1">
        <f t="array" ref="K28">INDEX(Medium_Complexity!$A$2:$M$72,MATCH(1,INDEX((Analysis_Medium!$A28=Medium_Complexity!$A$2:$A$72)*(Analysis_Medium!$B28=Medium_Complexity!$B$2:$B$72),0,1),0),MATCH(Analysis_Medium!K$23,Medium_Complexity!$A$2:$M$2,0))</f>
        <v>30</v>
      </c>
    </row>
    <row r="29" spans="1:11" x14ac:dyDescent="0.25">
      <c r="A29">
        <f t="shared" si="21"/>
        <v>6</v>
      </c>
      <c r="B29" t="s">
        <v>16</v>
      </c>
      <c r="C29" cm="1">
        <f t="array" ref="C29">INDEX(Medium_Complexity!$A$2:$K$72,MATCH(1,INDEX((Analysis_Medium!$A29=Medium_Complexity!$A$2:$A$72)*(Analysis_Medium!$B29=Medium_Complexity!$B$2:$B$72),0,1),0),MATCH(Analysis_Medium!C$23,Medium_Complexity!$A$2:$K$2,0))</f>
        <v>1</v>
      </c>
      <c r="D29" cm="1">
        <f t="array" ref="D29">INDEX(Medium_Complexity!$A$2:$K$72,MATCH(1,INDEX((Analysis_Medium!$A29=Medium_Complexity!$A$2:$A$72)*(Analysis_Medium!$B29=Medium_Complexity!$B$2:$B$72),0,1),0),MATCH(Analysis_Medium!D$23,Medium_Complexity!$A$2:$K$2,0))</f>
        <v>3</v>
      </c>
      <c r="E29" cm="1">
        <f t="array" ref="E29">INDEX(Medium_Complexity!$A$2:$K$72,MATCH(1,INDEX((Analysis_Medium!$A29=Medium_Complexity!$A$2:$A$72)*(Analysis_Medium!$B29=Medium_Complexity!$B$2:$B$72),0,1),0),MATCH(Analysis_Medium!E$23,Medium_Complexity!$A$2:$K$2,0))</f>
        <v>3</v>
      </c>
      <c r="F29" cm="1">
        <f t="array" ref="F29">INDEX(Medium_Complexity!$A$2:$K$72,MATCH(1,INDEX((Analysis_Medium!$A29=Medium_Complexity!$A$2:$A$72)*(Analysis_Medium!$B29=Medium_Complexity!$B$2:$B$72),0,1),0),MATCH(Analysis_Medium!F$23,Medium_Complexity!$A$2:$K$2,0))</f>
        <v>4</v>
      </c>
      <c r="G29" cm="1">
        <f t="array" ref="G29">INDEX(Medium_Complexity!$A$2:$K$72,MATCH(1,INDEX((Analysis_Medium!$A29=Medium_Complexity!$A$2:$A$72)*(Analysis_Medium!$B29=Medium_Complexity!$B$2:$B$72),0,1),0),MATCH(Analysis_Medium!G$23,Medium_Complexity!$A$2:$K$2,0))</f>
        <v>4</v>
      </c>
      <c r="H29" cm="1">
        <f t="array" ref="H29">INDEX(Medium_Complexity!$A$2:$K$72,MATCH(1,INDEX((Analysis_Medium!$A29=Medium_Complexity!$A$2:$A$72)*(Analysis_Medium!$B29=Medium_Complexity!$B$2:$B$72),0,1),0),MATCH(Analysis_Medium!H$23,Medium_Complexity!$A$2:$K$2,0))</f>
        <v>1</v>
      </c>
      <c r="I29" cm="1">
        <f t="array" ref="I29">INDEX(Medium_Complexity!$A$2:$K$72,MATCH(1,INDEX((Analysis_Medium!$A29=Medium_Complexity!$A$2:$A$72)*(Analysis_Medium!$B29=Medium_Complexity!$B$2:$B$72),0,1),0),MATCH(Analysis_Medium!I$23,Medium_Complexity!$A$2:$K$2,0))</f>
        <v>1</v>
      </c>
      <c r="J29" cm="1">
        <f t="array" ref="J29">INDEX(Medium_Complexity!$A$2:$K$72,MATCH(1,INDEX((Analysis_Medium!$A29=Medium_Complexity!$A$2:$A$72)*(Analysis_Medium!$B29=Medium_Complexity!$B$2:$B$72),0,1),0),MATCH(Analysis_Medium!J$23,Medium_Complexity!$A$2:$K$2,0))</f>
        <v>5</v>
      </c>
      <c r="K29" cm="1">
        <f t="array" ref="K29">INDEX(Medium_Complexity!$A$2:$M$72,MATCH(1,INDEX((Analysis_Medium!$A29=Medium_Complexity!$A$2:$A$72)*(Analysis_Medium!$B29=Medium_Complexity!$B$2:$B$72),0,1),0),MATCH(Analysis_Medium!K$23,Medium_Complexity!$A$2:$M$2,0))</f>
        <v>30</v>
      </c>
    </row>
    <row r="30" spans="1:11" x14ac:dyDescent="0.25">
      <c r="A30">
        <f t="shared" si="21"/>
        <v>7</v>
      </c>
      <c r="B30" t="s">
        <v>16</v>
      </c>
      <c r="C30" cm="1">
        <f t="array" ref="C30">INDEX(Medium_Complexity!$A$2:$K$72,MATCH(1,INDEX((Analysis_Medium!$A30=Medium_Complexity!$A$2:$A$72)*(Analysis_Medium!$B30=Medium_Complexity!$B$2:$B$72),0,1),0),MATCH(Analysis_Medium!C$23,Medium_Complexity!$A$2:$K$2,0))</f>
        <v>1</v>
      </c>
      <c r="D30" cm="1">
        <f t="array" ref="D30">INDEX(Medium_Complexity!$A$2:$K$72,MATCH(1,INDEX((Analysis_Medium!$A30=Medium_Complexity!$A$2:$A$72)*(Analysis_Medium!$B30=Medium_Complexity!$B$2:$B$72),0,1),0),MATCH(Analysis_Medium!D$23,Medium_Complexity!$A$2:$K$2,0))</f>
        <v>3</v>
      </c>
      <c r="E30" cm="1">
        <f t="array" ref="E30">INDEX(Medium_Complexity!$A$2:$K$72,MATCH(1,INDEX((Analysis_Medium!$A30=Medium_Complexity!$A$2:$A$72)*(Analysis_Medium!$B30=Medium_Complexity!$B$2:$B$72),0,1),0),MATCH(Analysis_Medium!E$23,Medium_Complexity!$A$2:$K$2,0))</f>
        <v>2</v>
      </c>
      <c r="F30" cm="1">
        <f t="array" ref="F30">INDEX(Medium_Complexity!$A$2:$K$72,MATCH(1,INDEX((Analysis_Medium!$A30=Medium_Complexity!$A$2:$A$72)*(Analysis_Medium!$B30=Medium_Complexity!$B$2:$B$72),0,1),0),MATCH(Analysis_Medium!F$23,Medium_Complexity!$A$2:$K$2,0))</f>
        <v>3</v>
      </c>
      <c r="G30" cm="1">
        <f t="array" ref="G30">INDEX(Medium_Complexity!$A$2:$K$72,MATCH(1,INDEX((Analysis_Medium!$A30=Medium_Complexity!$A$2:$A$72)*(Analysis_Medium!$B30=Medium_Complexity!$B$2:$B$72),0,1),0),MATCH(Analysis_Medium!G$23,Medium_Complexity!$A$2:$K$2,0))</f>
        <v>4</v>
      </c>
      <c r="H30" cm="1">
        <f t="array" ref="H30">INDEX(Medium_Complexity!$A$2:$K$72,MATCH(1,INDEX((Analysis_Medium!$A30=Medium_Complexity!$A$2:$A$72)*(Analysis_Medium!$B30=Medium_Complexity!$B$2:$B$72),0,1),0),MATCH(Analysis_Medium!H$23,Medium_Complexity!$A$2:$K$2,0))</f>
        <v>5</v>
      </c>
      <c r="I30" cm="1">
        <f t="array" ref="I30">INDEX(Medium_Complexity!$A$2:$K$72,MATCH(1,INDEX((Analysis_Medium!$A30=Medium_Complexity!$A$2:$A$72)*(Analysis_Medium!$B30=Medium_Complexity!$B$2:$B$72),0,1),0),MATCH(Analysis_Medium!I$23,Medium_Complexity!$A$2:$K$2,0))</f>
        <v>1</v>
      </c>
      <c r="J30" cm="1">
        <f t="array" ref="J30">INDEX(Medium_Complexity!$A$2:$K$72,MATCH(1,INDEX((Analysis_Medium!$A30=Medium_Complexity!$A$2:$A$72)*(Analysis_Medium!$B30=Medium_Complexity!$B$2:$B$72),0,1),0),MATCH(Analysis_Medium!J$23,Medium_Complexity!$A$2:$K$2,0))</f>
        <v>3</v>
      </c>
      <c r="K30" cm="1">
        <f t="array" ref="K30">INDEX(Medium_Complexity!$A$2:$M$72,MATCH(1,INDEX((Analysis_Medium!$A30=Medium_Complexity!$A$2:$A$72)*(Analysis_Medium!$B30=Medium_Complexity!$B$2:$B$72),0,1),0),MATCH(Analysis_Medium!K$23,Medium_Complexity!$A$2:$M$2,0))</f>
        <v>25</v>
      </c>
    </row>
    <row r="31" spans="1:11" x14ac:dyDescent="0.25">
      <c r="A31">
        <f t="shared" si="21"/>
        <v>8</v>
      </c>
      <c r="B31" t="s">
        <v>16</v>
      </c>
      <c r="C31" cm="1">
        <f t="array" ref="C31">INDEX(Medium_Complexity!$A$2:$K$72,MATCH(1,INDEX((Analysis_Medium!$A31=Medium_Complexity!$A$2:$A$72)*(Analysis_Medium!$B31=Medium_Complexity!$B$2:$B$72),0,1),0),MATCH(Analysis_Medium!C$23,Medium_Complexity!$A$2:$K$2,0))</f>
        <v>4</v>
      </c>
      <c r="D31" cm="1">
        <f t="array" ref="D31">INDEX(Medium_Complexity!$A$2:$K$72,MATCH(1,INDEX((Analysis_Medium!$A31=Medium_Complexity!$A$2:$A$72)*(Analysis_Medium!$B31=Medium_Complexity!$B$2:$B$72),0,1),0),MATCH(Analysis_Medium!D$23,Medium_Complexity!$A$2:$K$2,0))</f>
        <v>5</v>
      </c>
      <c r="E31" cm="1">
        <f t="array" ref="E31">INDEX(Medium_Complexity!$A$2:$K$72,MATCH(1,INDEX((Analysis_Medium!$A31=Medium_Complexity!$A$2:$A$72)*(Analysis_Medium!$B31=Medium_Complexity!$B$2:$B$72),0,1),0),MATCH(Analysis_Medium!E$23,Medium_Complexity!$A$2:$K$2,0))</f>
        <v>2</v>
      </c>
      <c r="F31" cm="1">
        <f t="array" ref="F31">INDEX(Medium_Complexity!$A$2:$K$72,MATCH(1,INDEX((Analysis_Medium!$A31=Medium_Complexity!$A$2:$A$72)*(Analysis_Medium!$B31=Medium_Complexity!$B$2:$B$72),0,1),0),MATCH(Analysis_Medium!F$23,Medium_Complexity!$A$2:$K$2,0))</f>
        <v>2</v>
      </c>
      <c r="G31" cm="1">
        <f t="array" ref="G31">INDEX(Medium_Complexity!$A$2:$K$72,MATCH(1,INDEX((Analysis_Medium!$A31=Medium_Complexity!$A$2:$A$72)*(Analysis_Medium!$B31=Medium_Complexity!$B$2:$B$72),0,1),0),MATCH(Analysis_Medium!G$23,Medium_Complexity!$A$2:$K$2,0))</f>
        <v>3</v>
      </c>
      <c r="H31" cm="1">
        <f t="array" ref="H31">INDEX(Medium_Complexity!$A$2:$K$72,MATCH(1,INDEX((Analysis_Medium!$A31=Medium_Complexity!$A$2:$A$72)*(Analysis_Medium!$B31=Medium_Complexity!$B$2:$B$72),0,1),0),MATCH(Analysis_Medium!H$23,Medium_Complexity!$A$2:$K$2,0))</f>
        <v>2</v>
      </c>
      <c r="I31" cm="1">
        <f t="array" ref="I31">INDEX(Medium_Complexity!$A$2:$K$72,MATCH(1,INDEX((Analysis_Medium!$A31=Medium_Complexity!$A$2:$A$72)*(Analysis_Medium!$B31=Medium_Complexity!$B$2:$B$72),0,1),0),MATCH(Analysis_Medium!I$23,Medium_Complexity!$A$2:$K$2,0))</f>
        <v>3</v>
      </c>
      <c r="J31" cm="1">
        <f t="array" ref="J31">INDEX(Medium_Complexity!$A$2:$K$72,MATCH(1,INDEX((Analysis_Medium!$A31=Medium_Complexity!$A$2:$A$72)*(Analysis_Medium!$B31=Medium_Complexity!$B$2:$B$72),0,1),0),MATCH(Analysis_Medium!J$23,Medium_Complexity!$A$2:$K$2,0))</f>
        <v>3</v>
      </c>
      <c r="K31" cm="1">
        <f t="array" ref="K31">INDEX(Medium_Complexity!$A$2:$M$72,MATCH(1,INDEX((Analysis_Medium!$A31=Medium_Complexity!$A$2:$A$72)*(Analysis_Medium!$B31=Medium_Complexity!$B$2:$B$72),0,1),0),MATCH(Analysis_Medium!K$23,Medium_Complexity!$A$2:$M$2,0))</f>
        <v>20</v>
      </c>
    </row>
    <row r="32" spans="1:11" x14ac:dyDescent="0.25">
      <c r="A32">
        <f t="shared" si="21"/>
        <v>9</v>
      </c>
      <c r="B32" t="s">
        <v>16</v>
      </c>
      <c r="C32" cm="1">
        <f t="array" ref="C32">INDEX(Medium_Complexity!$A$2:$K$72,MATCH(1,INDEX((Analysis_Medium!$A32=Medium_Complexity!$A$2:$A$72)*(Analysis_Medium!$B32=Medium_Complexity!$B$2:$B$72),0,1),0),MATCH(Analysis_Medium!C$23,Medium_Complexity!$A$2:$K$2,0))</f>
        <v>1</v>
      </c>
      <c r="D32" cm="1">
        <f t="array" ref="D32">INDEX(Medium_Complexity!$A$2:$K$72,MATCH(1,INDEX((Analysis_Medium!$A32=Medium_Complexity!$A$2:$A$72)*(Analysis_Medium!$B32=Medium_Complexity!$B$2:$B$72),0,1),0),MATCH(Analysis_Medium!D$23,Medium_Complexity!$A$2:$K$2,0))</f>
        <v>4</v>
      </c>
      <c r="E32" cm="1">
        <f t="array" ref="E32">INDEX(Medium_Complexity!$A$2:$K$72,MATCH(1,INDEX((Analysis_Medium!$A32=Medium_Complexity!$A$2:$A$72)*(Analysis_Medium!$B32=Medium_Complexity!$B$2:$B$72),0,1),0),MATCH(Analysis_Medium!E$23,Medium_Complexity!$A$2:$K$2,0))</f>
        <v>2</v>
      </c>
      <c r="F32" cm="1">
        <f t="array" ref="F32">INDEX(Medium_Complexity!$A$2:$K$72,MATCH(1,INDEX((Analysis_Medium!$A32=Medium_Complexity!$A$2:$A$72)*(Analysis_Medium!$B32=Medium_Complexity!$B$2:$B$72),0,1),0),MATCH(Analysis_Medium!F$23,Medium_Complexity!$A$2:$K$2,0))</f>
        <v>1</v>
      </c>
      <c r="G32" cm="1">
        <f t="array" ref="G32">INDEX(Medium_Complexity!$A$2:$K$72,MATCH(1,INDEX((Analysis_Medium!$A32=Medium_Complexity!$A$2:$A$72)*(Analysis_Medium!$B32=Medium_Complexity!$B$2:$B$72),0,1),0),MATCH(Analysis_Medium!G$23,Medium_Complexity!$A$2:$K$2,0))</f>
        <v>2</v>
      </c>
      <c r="H32" cm="1">
        <f t="array" ref="H32">INDEX(Medium_Complexity!$A$2:$K$72,MATCH(1,INDEX((Analysis_Medium!$A32=Medium_Complexity!$A$2:$A$72)*(Analysis_Medium!$B32=Medium_Complexity!$B$2:$B$72),0,1),0),MATCH(Analysis_Medium!H$23,Medium_Complexity!$A$2:$K$2,0))</f>
        <v>4</v>
      </c>
      <c r="I32" cm="1">
        <f t="array" ref="I32">INDEX(Medium_Complexity!$A$2:$K$72,MATCH(1,INDEX((Analysis_Medium!$A32=Medium_Complexity!$A$2:$A$72)*(Analysis_Medium!$B32=Medium_Complexity!$B$2:$B$72),0,1),0),MATCH(Analysis_Medium!I$23,Medium_Complexity!$A$2:$K$2,0))</f>
        <v>1</v>
      </c>
      <c r="J32" cm="1">
        <f t="array" ref="J32">INDEX(Medium_Complexity!$A$2:$K$72,MATCH(1,INDEX((Analysis_Medium!$A32=Medium_Complexity!$A$2:$A$72)*(Analysis_Medium!$B32=Medium_Complexity!$B$2:$B$72),0,1),0),MATCH(Analysis_Medium!J$23,Medium_Complexity!$A$2:$K$2,0))</f>
        <v>2</v>
      </c>
      <c r="K32" cm="1">
        <f t="array" ref="K32">INDEX(Medium_Complexity!$A$2:$M$72,MATCH(1,INDEX((Analysis_Medium!$A32=Medium_Complexity!$A$2:$A$72)*(Analysis_Medium!$B32=Medium_Complexity!$B$2:$B$72),0,1),0),MATCH(Analysis_Medium!K$23,Medium_Complexity!$A$2:$M$2,0))</f>
        <v>20</v>
      </c>
    </row>
    <row r="33" spans="1:11" x14ac:dyDescent="0.25">
      <c r="A33">
        <f t="shared" si="21"/>
        <v>10</v>
      </c>
      <c r="B33" t="s">
        <v>16</v>
      </c>
    </row>
    <row r="34" spans="1:11" x14ac:dyDescent="0.25">
      <c r="A34">
        <f t="shared" si="21"/>
        <v>11</v>
      </c>
      <c r="B34" t="s">
        <v>16</v>
      </c>
    </row>
    <row r="35" spans="1:11" x14ac:dyDescent="0.25">
      <c r="A35">
        <f t="shared" si="21"/>
        <v>12</v>
      </c>
      <c r="B35" t="s">
        <v>16</v>
      </c>
    </row>
    <row r="36" spans="1:11" x14ac:dyDescent="0.25">
      <c r="A36">
        <f t="shared" si="21"/>
        <v>13</v>
      </c>
      <c r="B36" t="s">
        <v>16</v>
      </c>
    </row>
    <row r="37" spans="1:11" x14ac:dyDescent="0.25">
      <c r="A37">
        <f t="shared" si="21"/>
        <v>14</v>
      </c>
      <c r="B37" t="s">
        <v>16</v>
      </c>
    </row>
    <row r="38" spans="1:11" x14ac:dyDescent="0.25">
      <c r="A38" s="2" t="s">
        <v>23</v>
      </c>
      <c r="B38" s="2"/>
      <c r="C38" s="2">
        <f>AVERAGE(C24:C37)</f>
        <v>1.7777777777777777</v>
      </c>
      <c r="D38" s="2">
        <f t="shared" ref="D38:K38" si="22">AVERAGE(D24:D37)</f>
        <v>3.3333333333333335</v>
      </c>
      <c r="E38" s="2">
        <f t="shared" si="22"/>
        <v>2.5555555555555554</v>
      </c>
      <c r="F38" s="2">
        <f t="shared" si="22"/>
        <v>2.5555555555555554</v>
      </c>
      <c r="G38" s="2">
        <f t="shared" si="22"/>
        <v>2.6666666666666665</v>
      </c>
      <c r="H38" s="2">
        <f t="shared" si="22"/>
        <v>3.3333333333333335</v>
      </c>
      <c r="I38" s="2">
        <f t="shared" si="22"/>
        <v>1.8888888888888888</v>
      </c>
      <c r="J38" s="2">
        <f t="shared" si="22"/>
        <v>2.6666666666666665</v>
      </c>
      <c r="K38" s="2">
        <f t="shared" si="22"/>
        <v>25</v>
      </c>
    </row>
    <row r="39" spans="1:11" x14ac:dyDescent="0.25">
      <c r="A39" t="s">
        <v>24</v>
      </c>
      <c r="C39">
        <f>MEDIAN(C24:C37)</f>
        <v>1</v>
      </c>
      <c r="D39">
        <f t="shared" ref="D39:K39" si="23">MEDIAN(D24:D37)</f>
        <v>3</v>
      </c>
      <c r="E39">
        <f t="shared" si="23"/>
        <v>2</v>
      </c>
      <c r="F39">
        <f t="shared" si="23"/>
        <v>2</v>
      </c>
      <c r="G39">
        <f t="shared" si="23"/>
        <v>3</v>
      </c>
      <c r="H39">
        <f t="shared" si="23"/>
        <v>4</v>
      </c>
      <c r="I39">
        <f t="shared" si="23"/>
        <v>2</v>
      </c>
      <c r="J39">
        <f t="shared" si="23"/>
        <v>3</v>
      </c>
      <c r="K39">
        <f t="shared" si="23"/>
        <v>25</v>
      </c>
    </row>
    <row r="42" spans="1:11" x14ac:dyDescent="0.25">
      <c r="A42" s="1" t="s">
        <v>22</v>
      </c>
      <c r="B42" s="1" t="s">
        <v>0</v>
      </c>
      <c r="C42" s="1" t="s">
        <v>1</v>
      </c>
      <c r="D42" s="1" t="s">
        <v>37</v>
      </c>
      <c r="E42" s="1" t="s">
        <v>3</v>
      </c>
      <c r="F42" s="1" t="s">
        <v>38</v>
      </c>
      <c r="G42" s="1" t="s">
        <v>5</v>
      </c>
      <c r="H42" s="1" t="s">
        <v>41</v>
      </c>
      <c r="I42" s="1" t="s">
        <v>42</v>
      </c>
      <c r="J42" s="13" t="s">
        <v>39</v>
      </c>
      <c r="K42" s="1" t="s">
        <v>10</v>
      </c>
    </row>
    <row r="43" spans="1:11" x14ac:dyDescent="0.25">
      <c r="A43">
        <v>1</v>
      </c>
      <c r="B43" t="s">
        <v>12</v>
      </c>
      <c r="C43" cm="1">
        <f t="array" ref="C43">INDEX(Medium_Complexity!$A$2:$K$72,MATCH(1,INDEX((Analysis_Medium!$A43=Medium_Complexity!$A$2:$A$72)*(Analysis_Medium!$B43=Medium_Complexity!$B$2:$B$72),0,1),0),MATCH(Analysis_Medium!C$42,Medium_Complexity!$A$2:$K$2,0))</f>
        <v>5</v>
      </c>
      <c r="D43" cm="1">
        <f t="array" ref="D43">INDEX(Medium_Complexity!$A$2:$K$72,MATCH(1,INDEX((Analysis_Medium!$A43=Medium_Complexity!$A$2:$A$72)*(Analysis_Medium!$B43=Medium_Complexity!$B$2:$B$72),0,1),0),MATCH(Analysis_Medium!D$42,Medium_Complexity!$A$2:$K$2,0))</f>
        <v>4</v>
      </c>
      <c r="E43" cm="1">
        <f t="array" ref="E43">INDEX(Medium_Complexity!$A$2:$K$72,MATCH(1,INDEX((Analysis_Medium!$A43=Medium_Complexity!$A$2:$A$72)*(Analysis_Medium!$B43=Medium_Complexity!$B$2:$B$72),0,1),0),MATCH(Analysis_Medium!E$42,Medium_Complexity!$A$2:$K$2,0))</f>
        <v>3</v>
      </c>
      <c r="F43" cm="1">
        <f t="array" ref="F43">INDEX(Medium_Complexity!$A$2:$K$72,MATCH(1,INDEX((Analysis_Medium!$A43=Medium_Complexity!$A$2:$A$72)*(Analysis_Medium!$B43=Medium_Complexity!$B$2:$B$72),0,1),0),MATCH(Analysis_Medium!F$42,Medium_Complexity!$A$2:$K$2,0))</f>
        <v>2</v>
      </c>
      <c r="G43" cm="1">
        <f t="array" ref="G43">INDEX(Medium_Complexity!$A$2:$K$72,MATCH(1,INDEX((Analysis_Medium!$A43=Medium_Complexity!$A$2:$A$72)*(Analysis_Medium!$B43=Medium_Complexity!$B$2:$B$72),0,1),0),MATCH(Analysis_Medium!G$42,Medium_Complexity!$A$2:$K$2,0))</f>
        <v>3</v>
      </c>
      <c r="H43" cm="1">
        <f t="array" ref="H43">INDEX(Medium_Complexity!$A$2:$K$72,MATCH(1,INDEX((Analysis_Medium!$A43=Medium_Complexity!$A$2:$A$72)*(Analysis_Medium!$B43=Medium_Complexity!$B$2:$B$72),0,1),0),MATCH(Analysis_Medium!H$42,Medium_Complexity!$A$2:$K$2,0))</f>
        <v>1</v>
      </c>
      <c r="I43" cm="1">
        <f t="array" ref="I43">INDEX(Medium_Complexity!$A$2:$K$72,MATCH(1,INDEX((Analysis_Medium!$A43=Medium_Complexity!$A$2:$A$72)*(Analysis_Medium!$B43=Medium_Complexity!$B$2:$B$72),0,1),0),MATCH(Analysis_Medium!I$42,Medium_Complexity!$A$2:$K$2,0))</f>
        <v>5</v>
      </c>
      <c r="J43" cm="1">
        <f t="array" ref="J43">INDEX(Medium_Complexity!$A$2:$K$72,MATCH(1,INDEX((Analysis_Medium!$A43=Medium_Complexity!$A$2:$A$72)*(Analysis_Medium!$B43=Medium_Complexity!$B$2:$B$72),0,1),0),MATCH(Analysis_Medium!J$42,Medium_Complexity!$A$2:$K$2,0))</f>
        <v>3</v>
      </c>
      <c r="K43" cm="1">
        <f t="array" ref="K43">INDEX(Medium_Complexity!$A$2:$M$72,MATCH(1,INDEX((Analysis_Medium!$A43=Medium_Complexity!$A$2:$A$72)*(Analysis_Medium!$B43=Medium_Complexity!$B$2:$B$72),0,1),0),MATCH(Analysis_Medium!K$23,Medium_Complexity!$A$2:$M$2,0))</f>
        <v>10</v>
      </c>
    </row>
    <row r="44" spans="1:11" x14ac:dyDescent="0.25">
      <c r="A44">
        <f>A43+1</f>
        <v>2</v>
      </c>
      <c r="B44" t="s">
        <v>12</v>
      </c>
      <c r="C44" cm="1">
        <f t="array" ref="C44">INDEX(Medium_Complexity!$A$2:$K$72,MATCH(1,INDEX((Analysis_Medium!$A44=Medium_Complexity!$A$2:$A$72)*(Analysis_Medium!$B44=Medium_Complexity!$B$2:$B$72),0,1),0),MATCH(Analysis_Medium!C$42,Medium_Complexity!$A$2:$K$2,0))</f>
        <v>4</v>
      </c>
      <c r="D44" cm="1">
        <f t="array" ref="D44">INDEX(Medium_Complexity!$A$2:$K$72,MATCH(1,INDEX((Analysis_Medium!$A44=Medium_Complexity!$A$2:$A$72)*(Analysis_Medium!$B44=Medium_Complexity!$B$2:$B$72),0,1),0),MATCH(Analysis_Medium!D$42,Medium_Complexity!$A$2:$K$2,0))</f>
        <v>3</v>
      </c>
      <c r="E44" cm="1">
        <f t="array" ref="E44">INDEX(Medium_Complexity!$A$2:$K$72,MATCH(1,INDEX((Analysis_Medium!$A44=Medium_Complexity!$A$2:$A$72)*(Analysis_Medium!$B44=Medium_Complexity!$B$2:$B$72),0,1),0),MATCH(Analysis_Medium!E$42,Medium_Complexity!$A$2:$K$2,0))</f>
        <v>3</v>
      </c>
      <c r="F44" cm="1">
        <f t="array" ref="F44">INDEX(Medium_Complexity!$A$2:$K$72,MATCH(1,INDEX((Analysis_Medium!$A44=Medium_Complexity!$A$2:$A$72)*(Analysis_Medium!$B44=Medium_Complexity!$B$2:$B$72),0,1),0),MATCH(Analysis_Medium!F$42,Medium_Complexity!$A$2:$K$2,0))</f>
        <v>2</v>
      </c>
      <c r="G44" cm="1">
        <f t="array" ref="G44">INDEX(Medium_Complexity!$A$2:$K$72,MATCH(1,INDEX((Analysis_Medium!$A44=Medium_Complexity!$A$2:$A$72)*(Analysis_Medium!$B44=Medium_Complexity!$B$2:$B$72),0,1),0),MATCH(Analysis_Medium!G$42,Medium_Complexity!$A$2:$K$2,0))</f>
        <v>3</v>
      </c>
      <c r="H44" cm="1">
        <f t="array" ref="H44">INDEX(Medium_Complexity!$A$2:$K$72,MATCH(1,INDEX((Analysis_Medium!$A44=Medium_Complexity!$A$2:$A$72)*(Analysis_Medium!$B44=Medium_Complexity!$B$2:$B$72),0,1),0),MATCH(Analysis_Medium!H$42,Medium_Complexity!$A$2:$K$2,0))</f>
        <v>2</v>
      </c>
      <c r="I44" cm="1">
        <f t="array" ref="I44">INDEX(Medium_Complexity!$A$2:$K$72,MATCH(1,INDEX((Analysis_Medium!$A44=Medium_Complexity!$A$2:$A$72)*(Analysis_Medium!$B44=Medium_Complexity!$B$2:$B$72),0,1),0),MATCH(Analysis_Medium!I$42,Medium_Complexity!$A$2:$K$2,0))</f>
        <v>5</v>
      </c>
      <c r="J44" cm="1">
        <f t="array" ref="J44">INDEX(Medium_Complexity!$A$2:$K$72,MATCH(1,INDEX((Analysis_Medium!$A44=Medium_Complexity!$A$2:$A$72)*(Analysis_Medium!$B44=Medium_Complexity!$B$2:$B$72),0,1),0),MATCH(Analysis_Medium!J$42,Medium_Complexity!$A$2:$K$2,0))</f>
        <v>4</v>
      </c>
      <c r="K44" cm="1">
        <f t="array" ref="K44">INDEX(Medium_Complexity!$A$2:$M$72,MATCH(1,INDEX((Analysis_Medium!$A44=Medium_Complexity!$A$2:$A$72)*(Analysis_Medium!$B44=Medium_Complexity!$B$2:$B$72),0,1),0),MATCH(Analysis_Medium!K$23,Medium_Complexity!$A$2:$M$2,0))</f>
        <v>10</v>
      </c>
    </row>
    <row r="45" spans="1:11" x14ac:dyDescent="0.25">
      <c r="A45">
        <f t="shared" ref="A45:A56" si="24">A44+1</f>
        <v>3</v>
      </c>
      <c r="B45" t="s">
        <v>12</v>
      </c>
      <c r="C45" cm="1">
        <f t="array" ref="C45">INDEX(Medium_Complexity!$A$2:$K$72,MATCH(1,INDEX((Analysis_Medium!$A45=Medium_Complexity!$A$2:$A$72)*(Analysis_Medium!$B45=Medium_Complexity!$B$2:$B$72),0,1),0),MATCH(Analysis_Medium!C$42,Medium_Complexity!$A$2:$K$2,0))</f>
        <v>4</v>
      </c>
      <c r="D45" cm="1">
        <f t="array" ref="D45">INDEX(Medium_Complexity!$A$2:$K$72,MATCH(1,INDEX((Analysis_Medium!$A45=Medium_Complexity!$A$2:$A$72)*(Analysis_Medium!$B45=Medium_Complexity!$B$2:$B$72),0,1),0),MATCH(Analysis_Medium!D$42,Medium_Complexity!$A$2:$K$2,0))</f>
        <v>3</v>
      </c>
      <c r="E45" cm="1">
        <f t="array" ref="E45">INDEX(Medium_Complexity!$A$2:$K$72,MATCH(1,INDEX((Analysis_Medium!$A45=Medium_Complexity!$A$2:$A$72)*(Analysis_Medium!$B45=Medium_Complexity!$B$2:$B$72),0,1),0),MATCH(Analysis_Medium!E$42,Medium_Complexity!$A$2:$K$2,0))</f>
        <v>5</v>
      </c>
      <c r="F45" cm="1">
        <f t="array" ref="F45">INDEX(Medium_Complexity!$A$2:$K$72,MATCH(1,INDEX((Analysis_Medium!$A45=Medium_Complexity!$A$2:$A$72)*(Analysis_Medium!$B45=Medium_Complexity!$B$2:$B$72),0,1),0),MATCH(Analysis_Medium!F$42,Medium_Complexity!$A$2:$K$2,0))</f>
        <v>2</v>
      </c>
      <c r="G45" cm="1">
        <f t="array" ref="G45">INDEX(Medium_Complexity!$A$2:$K$72,MATCH(1,INDEX((Analysis_Medium!$A45=Medium_Complexity!$A$2:$A$72)*(Analysis_Medium!$B45=Medium_Complexity!$B$2:$B$72),0,1),0),MATCH(Analysis_Medium!G$42,Medium_Complexity!$A$2:$K$2,0))</f>
        <v>3</v>
      </c>
      <c r="H45" cm="1">
        <f t="array" ref="H45">INDEX(Medium_Complexity!$A$2:$K$72,MATCH(1,INDEX((Analysis_Medium!$A45=Medium_Complexity!$A$2:$A$72)*(Analysis_Medium!$B45=Medium_Complexity!$B$2:$B$72),0,1),0),MATCH(Analysis_Medium!H$42,Medium_Complexity!$A$2:$K$2,0))</f>
        <v>1</v>
      </c>
      <c r="I45" cm="1">
        <f t="array" ref="I45">INDEX(Medium_Complexity!$A$2:$K$72,MATCH(1,INDEX((Analysis_Medium!$A45=Medium_Complexity!$A$2:$A$72)*(Analysis_Medium!$B45=Medium_Complexity!$B$2:$B$72),0,1),0),MATCH(Analysis_Medium!I$42,Medium_Complexity!$A$2:$K$2,0))</f>
        <v>4</v>
      </c>
      <c r="J45" cm="1">
        <f t="array" ref="J45">INDEX(Medium_Complexity!$A$2:$K$72,MATCH(1,INDEX((Analysis_Medium!$A45=Medium_Complexity!$A$2:$A$72)*(Analysis_Medium!$B45=Medium_Complexity!$B$2:$B$72),0,1),0),MATCH(Analysis_Medium!J$42,Medium_Complexity!$A$2:$K$2,0))</f>
        <v>3</v>
      </c>
      <c r="K45" cm="1">
        <f t="array" ref="K45">INDEX(Medium_Complexity!$A$2:$M$72,MATCH(1,INDEX((Analysis_Medium!$A45=Medium_Complexity!$A$2:$A$72)*(Analysis_Medium!$B45=Medium_Complexity!$B$2:$B$72),0,1),0),MATCH(Analysis_Medium!K$23,Medium_Complexity!$A$2:$M$2,0))</f>
        <v>5</v>
      </c>
    </row>
    <row r="46" spans="1:11" x14ac:dyDescent="0.25">
      <c r="A46">
        <f t="shared" si="24"/>
        <v>4</v>
      </c>
      <c r="B46" t="s">
        <v>12</v>
      </c>
      <c r="C46" cm="1">
        <f t="array" ref="C46">INDEX(Medium_Complexity!$A$2:$K$72,MATCH(1,INDEX((Analysis_Medium!$A46=Medium_Complexity!$A$2:$A$72)*(Analysis_Medium!$B46=Medium_Complexity!$B$2:$B$72),0,1),0),MATCH(Analysis_Medium!C$42,Medium_Complexity!$A$2:$K$2,0))</f>
        <v>5</v>
      </c>
      <c r="D46" cm="1">
        <f t="array" ref="D46">INDEX(Medium_Complexity!$A$2:$K$72,MATCH(1,INDEX((Analysis_Medium!$A46=Medium_Complexity!$A$2:$A$72)*(Analysis_Medium!$B46=Medium_Complexity!$B$2:$B$72),0,1),0),MATCH(Analysis_Medium!D$42,Medium_Complexity!$A$2:$K$2,0))</f>
        <v>4</v>
      </c>
      <c r="E46" cm="1">
        <f t="array" ref="E46">INDEX(Medium_Complexity!$A$2:$K$72,MATCH(1,INDEX((Analysis_Medium!$A46=Medium_Complexity!$A$2:$A$72)*(Analysis_Medium!$B46=Medium_Complexity!$B$2:$B$72),0,1),0),MATCH(Analysis_Medium!E$42,Medium_Complexity!$A$2:$K$2,0))</f>
        <v>1</v>
      </c>
      <c r="F46" cm="1">
        <f t="array" ref="F46">INDEX(Medium_Complexity!$A$2:$K$72,MATCH(1,INDEX((Analysis_Medium!$A46=Medium_Complexity!$A$2:$A$72)*(Analysis_Medium!$B46=Medium_Complexity!$B$2:$B$72),0,1),0),MATCH(Analysis_Medium!F$42,Medium_Complexity!$A$2:$K$2,0))</f>
        <v>4</v>
      </c>
      <c r="G46" cm="1">
        <f t="array" ref="G46">INDEX(Medium_Complexity!$A$2:$K$72,MATCH(1,INDEX((Analysis_Medium!$A46=Medium_Complexity!$A$2:$A$72)*(Analysis_Medium!$B46=Medium_Complexity!$B$2:$B$72),0,1),0),MATCH(Analysis_Medium!G$42,Medium_Complexity!$A$2:$K$2,0))</f>
        <v>2</v>
      </c>
      <c r="H46" cm="1">
        <f t="array" ref="H46">INDEX(Medium_Complexity!$A$2:$K$72,MATCH(1,INDEX((Analysis_Medium!$A46=Medium_Complexity!$A$2:$A$72)*(Analysis_Medium!$B46=Medium_Complexity!$B$2:$B$72),0,1),0),MATCH(Analysis_Medium!H$42,Medium_Complexity!$A$2:$K$2,0))</f>
        <v>2</v>
      </c>
      <c r="I46" cm="1">
        <f t="array" ref="I46">INDEX(Medium_Complexity!$A$2:$K$72,MATCH(1,INDEX((Analysis_Medium!$A46=Medium_Complexity!$A$2:$A$72)*(Analysis_Medium!$B46=Medium_Complexity!$B$2:$B$72),0,1),0),MATCH(Analysis_Medium!I$42,Medium_Complexity!$A$2:$K$2,0))</f>
        <v>5</v>
      </c>
      <c r="J46" cm="1">
        <f t="array" ref="J46">INDEX(Medium_Complexity!$A$2:$K$72,MATCH(1,INDEX((Analysis_Medium!$A46=Medium_Complexity!$A$2:$A$72)*(Analysis_Medium!$B46=Medium_Complexity!$B$2:$B$72),0,1),0),MATCH(Analysis_Medium!J$42,Medium_Complexity!$A$2:$K$2,0))</f>
        <v>3</v>
      </c>
      <c r="K46" cm="1">
        <f t="array" ref="K46">INDEX(Medium_Complexity!$A$2:$M$72,MATCH(1,INDEX((Analysis_Medium!$A46=Medium_Complexity!$A$2:$A$72)*(Analysis_Medium!$B46=Medium_Complexity!$B$2:$B$72),0,1),0),MATCH(Analysis_Medium!K$23,Medium_Complexity!$A$2:$M$2,0))</f>
        <v>10</v>
      </c>
    </row>
    <row r="47" spans="1:11" x14ac:dyDescent="0.25">
      <c r="A47">
        <f t="shared" si="24"/>
        <v>5</v>
      </c>
      <c r="B47" t="s">
        <v>12</v>
      </c>
      <c r="C47" cm="1">
        <f t="array" ref="C47">INDEX(Medium_Complexity!$A$2:$K$72,MATCH(1,INDEX((Analysis_Medium!$A47=Medium_Complexity!$A$2:$A$72)*(Analysis_Medium!$B47=Medium_Complexity!$B$2:$B$72),0,1),0),MATCH(Analysis_Medium!C$42,Medium_Complexity!$A$2:$K$2,0))</f>
        <v>5</v>
      </c>
      <c r="D47" cm="1">
        <f t="array" ref="D47">INDEX(Medium_Complexity!$A$2:$K$72,MATCH(1,INDEX((Analysis_Medium!$A47=Medium_Complexity!$A$2:$A$72)*(Analysis_Medium!$B47=Medium_Complexity!$B$2:$B$72),0,1),0),MATCH(Analysis_Medium!D$42,Medium_Complexity!$A$2:$K$2,0))</f>
        <v>4</v>
      </c>
      <c r="E47" cm="1">
        <f t="array" ref="E47">INDEX(Medium_Complexity!$A$2:$K$72,MATCH(1,INDEX((Analysis_Medium!$A47=Medium_Complexity!$A$2:$A$72)*(Analysis_Medium!$B47=Medium_Complexity!$B$2:$B$72),0,1),0),MATCH(Analysis_Medium!E$42,Medium_Complexity!$A$2:$K$2,0))</f>
        <v>1</v>
      </c>
      <c r="F47" cm="1">
        <f t="array" ref="F47">INDEX(Medium_Complexity!$A$2:$K$72,MATCH(1,INDEX((Analysis_Medium!$A47=Medium_Complexity!$A$2:$A$72)*(Analysis_Medium!$B47=Medium_Complexity!$B$2:$B$72),0,1),0),MATCH(Analysis_Medium!F$42,Medium_Complexity!$A$2:$K$2,0))</f>
        <v>3</v>
      </c>
      <c r="G47" cm="1">
        <f t="array" ref="G47">INDEX(Medium_Complexity!$A$2:$K$72,MATCH(1,INDEX((Analysis_Medium!$A47=Medium_Complexity!$A$2:$A$72)*(Analysis_Medium!$B47=Medium_Complexity!$B$2:$B$72),0,1),0),MATCH(Analysis_Medium!G$42,Medium_Complexity!$A$2:$K$2,0))</f>
        <v>2</v>
      </c>
      <c r="H47" cm="1">
        <f t="array" ref="H47">INDEX(Medium_Complexity!$A$2:$K$72,MATCH(1,INDEX((Analysis_Medium!$A47=Medium_Complexity!$A$2:$A$72)*(Analysis_Medium!$B47=Medium_Complexity!$B$2:$B$72),0,1),0),MATCH(Analysis_Medium!H$42,Medium_Complexity!$A$2:$K$2,0))</f>
        <v>1</v>
      </c>
      <c r="I47" cm="1">
        <f t="array" ref="I47">INDEX(Medium_Complexity!$A$2:$K$72,MATCH(1,INDEX((Analysis_Medium!$A47=Medium_Complexity!$A$2:$A$72)*(Analysis_Medium!$B47=Medium_Complexity!$B$2:$B$72),0,1),0),MATCH(Analysis_Medium!I$42,Medium_Complexity!$A$2:$K$2,0))</f>
        <v>5</v>
      </c>
      <c r="J47" cm="1">
        <f t="array" ref="J47">INDEX(Medium_Complexity!$A$2:$K$72,MATCH(1,INDEX((Analysis_Medium!$A47=Medium_Complexity!$A$2:$A$72)*(Analysis_Medium!$B47=Medium_Complexity!$B$2:$B$72),0,1),0),MATCH(Analysis_Medium!J$42,Medium_Complexity!$A$2:$K$2,0))</f>
        <v>4</v>
      </c>
      <c r="K47" cm="1">
        <f t="array" ref="K47">INDEX(Medium_Complexity!$A$2:$M$72,MATCH(1,INDEX((Analysis_Medium!$A47=Medium_Complexity!$A$2:$A$72)*(Analysis_Medium!$B47=Medium_Complexity!$B$2:$B$72),0,1),0),MATCH(Analysis_Medium!K$23,Medium_Complexity!$A$2:$M$2,0))</f>
        <v>20</v>
      </c>
    </row>
    <row r="48" spans="1:11" x14ac:dyDescent="0.25">
      <c r="A48">
        <f t="shared" si="24"/>
        <v>6</v>
      </c>
      <c r="B48" t="s">
        <v>12</v>
      </c>
      <c r="C48" cm="1">
        <f t="array" ref="C48">INDEX(Medium_Complexity!$A$2:$K$72,MATCH(1,INDEX((Analysis_Medium!$A48=Medium_Complexity!$A$2:$A$72)*(Analysis_Medium!$B48=Medium_Complexity!$B$2:$B$72),0,1),0),MATCH(Analysis_Medium!C$42,Medium_Complexity!$A$2:$K$2,0))</f>
        <v>1</v>
      </c>
      <c r="D48" cm="1">
        <f t="array" ref="D48">INDEX(Medium_Complexity!$A$2:$K$72,MATCH(1,INDEX((Analysis_Medium!$A48=Medium_Complexity!$A$2:$A$72)*(Analysis_Medium!$B48=Medium_Complexity!$B$2:$B$72),0,1),0),MATCH(Analysis_Medium!D$42,Medium_Complexity!$A$2:$K$2,0))</f>
        <v>2</v>
      </c>
      <c r="E48" cm="1">
        <f t="array" ref="E48">INDEX(Medium_Complexity!$A$2:$K$72,MATCH(1,INDEX((Analysis_Medium!$A48=Medium_Complexity!$A$2:$A$72)*(Analysis_Medium!$B48=Medium_Complexity!$B$2:$B$72),0,1),0),MATCH(Analysis_Medium!E$42,Medium_Complexity!$A$2:$K$2,0))</f>
        <v>2</v>
      </c>
      <c r="F48" cm="1">
        <f t="array" ref="F48">INDEX(Medium_Complexity!$A$2:$K$72,MATCH(1,INDEX((Analysis_Medium!$A48=Medium_Complexity!$A$2:$A$72)*(Analysis_Medium!$B48=Medium_Complexity!$B$2:$B$72),0,1),0),MATCH(Analysis_Medium!F$42,Medium_Complexity!$A$2:$K$2,0))</f>
        <v>3</v>
      </c>
      <c r="G48" cm="1">
        <f t="array" ref="G48">INDEX(Medium_Complexity!$A$2:$K$72,MATCH(1,INDEX((Analysis_Medium!$A48=Medium_Complexity!$A$2:$A$72)*(Analysis_Medium!$B48=Medium_Complexity!$B$2:$B$72),0,1),0),MATCH(Analysis_Medium!G$42,Medium_Complexity!$A$2:$K$2,0))</f>
        <v>4</v>
      </c>
      <c r="H48" cm="1">
        <f t="array" ref="H48">INDEX(Medium_Complexity!$A$2:$K$72,MATCH(1,INDEX((Analysis_Medium!$A48=Medium_Complexity!$A$2:$A$72)*(Analysis_Medium!$B48=Medium_Complexity!$B$2:$B$72),0,1),0),MATCH(Analysis_Medium!H$42,Medium_Complexity!$A$2:$K$2,0))</f>
        <v>5</v>
      </c>
      <c r="I48" cm="1">
        <f t="array" ref="I48">INDEX(Medium_Complexity!$A$2:$K$72,MATCH(1,INDEX((Analysis_Medium!$A48=Medium_Complexity!$A$2:$A$72)*(Analysis_Medium!$B48=Medium_Complexity!$B$2:$B$72),0,1),0),MATCH(Analysis_Medium!I$42,Medium_Complexity!$A$2:$K$2,0))</f>
        <v>1</v>
      </c>
      <c r="J48" cm="1">
        <f t="array" ref="J48">INDEX(Medium_Complexity!$A$2:$K$72,MATCH(1,INDEX((Analysis_Medium!$A48=Medium_Complexity!$A$2:$A$72)*(Analysis_Medium!$B48=Medium_Complexity!$B$2:$B$72),0,1),0),MATCH(Analysis_Medium!J$42,Medium_Complexity!$A$2:$K$2,0))</f>
        <v>3</v>
      </c>
      <c r="K48" cm="1">
        <f t="array" ref="K48">INDEX(Medium_Complexity!$A$2:$M$72,MATCH(1,INDEX((Analysis_Medium!$A48=Medium_Complexity!$A$2:$A$72)*(Analysis_Medium!$B48=Medium_Complexity!$B$2:$B$72),0,1),0),MATCH(Analysis_Medium!K$23,Medium_Complexity!$A$2:$M$2,0))</f>
        <v>10</v>
      </c>
    </row>
    <row r="49" spans="1:11" x14ac:dyDescent="0.25">
      <c r="A49">
        <f t="shared" si="24"/>
        <v>7</v>
      </c>
      <c r="B49" t="s">
        <v>12</v>
      </c>
      <c r="C49" cm="1">
        <f t="array" ref="C49">INDEX(Medium_Complexity!$A$2:$K$72,MATCH(1,INDEX((Analysis_Medium!$A49=Medium_Complexity!$A$2:$A$72)*(Analysis_Medium!$B49=Medium_Complexity!$B$2:$B$72),0,1),0),MATCH(Analysis_Medium!C$42,Medium_Complexity!$A$2:$K$2,0))</f>
        <v>5</v>
      </c>
      <c r="D49" cm="1">
        <f t="array" ref="D49">INDEX(Medium_Complexity!$A$2:$K$72,MATCH(1,INDEX((Analysis_Medium!$A49=Medium_Complexity!$A$2:$A$72)*(Analysis_Medium!$B49=Medium_Complexity!$B$2:$B$72),0,1),0),MATCH(Analysis_Medium!D$42,Medium_Complexity!$A$2:$K$2,0))</f>
        <v>4</v>
      </c>
      <c r="E49" cm="1">
        <f t="array" ref="E49">INDEX(Medium_Complexity!$A$2:$K$72,MATCH(1,INDEX((Analysis_Medium!$A49=Medium_Complexity!$A$2:$A$72)*(Analysis_Medium!$B49=Medium_Complexity!$B$2:$B$72),0,1),0),MATCH(Analysis_Medium!E$42,Medium_Complexity!$A$2:$K$2,0))</f>
        <v>4</v>
      </c>
      <c r="F49" cm="1">
        <f t="array" ref="F49">INDEX(Medium_Complexity!$A$2:$K$72,MATCH(1,INDEX((Analysis_Medium!$A49=Medium_Complexity!$A$2:$A$72)*(Analysis_Medium!$B49=Medium_Complexity!$B$2:$B$72),0,1),0),MATCH(Analysis_Medium!F$42,Medium_Complexity!$A$2:$K$2,0))</f>
        <v>3</v>
      </c>
      <c r="G49" cm="1">
        <f t="array" ref="G49">INDEX(Medium_Complexity!$A$2:$K$72,MATCH(1,INDEX((Analysis_Medium!$A49=Medium_Complexity!$A$2:$A$72)*(Analysis_Medium!$B49=Medium_Complexity!$B$2:$B$72),0,1),0),MATCH(Analysis_Medium!G$42,Medium_Complexity!$A$2:$K$2,0))</f>
        <v>3</v>
      </c>
      <c r="H49" cm="1">
        <f t="array" ref="H49">INDEX(Medium_Complexity!$A$2:$K$72,MATCH(1,INDEX((Analysis_Medium!$A49=Medium_Complexity!$A$2:$A$72)*(Analysis_Medium!$B49=Medium_Complexity!$B$2:$B$72),0,1),0),MATCH(Analysis_Medium!H$42,Medium_Complexity!$A$2:$K$2,0))</f>
        <v>4</v>
      </c>
      <c r="I49" cm="1">
        <f t="array" ref="I49">INDEX(Medium_Complexity!$A$2:$K$72,MATCH(1,INDEX((Analysis_Medium!$A49=Medium_Complexity!$A$2:$A$72)*(Analysis_Medium!$B49=Medium_Complexity!$B$2:$B$72),0,1),0),MATCH(Analysis_Medium!I$42,Medium_Complexity!$A$2:$K$2,0))</f>
        <v>2</v>
      </c>
      <c r="J49" cm="1">
        <f t="array" ref="J49">INDEX(Medium_Complexity!$A$2:$K$72,MATCH(1,INDEX((Analysis_Medium!$A49=Medium_Complexity!$A$2:$A$72)*(Analysis_Medium!$B49=Medium_Complexity!$B$2:$B$72),0,1),0),MATCH(Analysis_Medium!J$42,Medium_Complexity!$A$2:$K$2,0))</f>
        <v>3</v>
      </c>
      <c r="K49" cm="1">
        <f t="array" ref="K49">INDEX(Medium_Complexity!$A$2:$M$72,MATCH(1,INDEX((Analysis_Medium!$A49=Medium_Complexity!$A$2:$A$72)*(Analysis_Medium!$B49=Medium_Complexity!$B$2:$B$72),0,1),0),MATCH(Analysis_Medium!K$23,Medium_Complexity!$A$2:$M$2,0))</f>
        <v>20</v>
      </c>
    </row>
    <row r="50" spans="1:11" x14ac:dyDescent="0.25">
      <c r="A50">
        <f t="shared" si="24"/>
        <v>8</v>
      </c>
      <c r="B50" t="s">
        <v>12</v>
      </c>
      <c r="C50" cm="1">
        <f t="array" ref="C50">INDEX(Medium_Complexity!$A$2:$K$72,MATCH(1,INDEX((Analysis_Medium!$A50=Medium_Complexity!$A$2:$A$72)*(Analysis_Medium!$B50=Medium_Complexity!$B$2:$B$72),0,1),0),MATCH(Analysis_Medium!C$42,Medium_Complexity!$A$2:$K$2,0))</f>
        <v>2</v>
      </c>
      <c r="D50" cm="1">
        <f t="array" ref="D50">INDEX(Medium_Complexity!$A$2:$K$72,MATCH(1,INDEX((Analysis_Medium!$A50=Medium_Complexity!$A$2:$A$72)*(Analysis_Medium!$B50=Medium_Complexity!$B$2:$B$72),0,1),0),MATCH(Analysis_Medium!D$42,Medium_Complexity!$A$2:$K$2,0))</f>
        <v>3</v>
      </c>
      <c r="E50" cm="1">
        <f t="array" ref="E50">INDEX(Medium_Complexity!$A$2:$K$72,MATCH(1,INDEX((Analysis_Medium!$A50=Medium_Complexity!$A$2:$A$72)*(Analysis_Medium!$B50=Medium_Complexity!$B$2:$B$72),0,1),0),MATCH(Analysis_Medium!E$42,Medium_Complexity!$A$2:$K$2,0))</f>
        <v>1</v>
      </c>
      <c r="F50" cm="1">
        <f t="array" ref="F50">INDEX(Medium_Complexity!$A$2:$K$72,MATCH(1,INDEX((Analysis_Medium!$A50=Medium_Complexity!$A$2:$A$72)*(Analysis_Medium!$B50=Medium_Complexity!$B$2:$B$72),0,1),0),MATCH(Analysis_Medium!F$42,Medium_Complexity!$A$2:$K$2,0))</f>
        <v>1</v>
      </c>
      <c r="G50" cm="1">
        <f t="array" ref="G50">INDEX(Medium_Complexity!$A$2:$K$72,MATCH(1,INDEX((Analysis_Medium!$A50=Medium_Complexity!$A$2:$A$72)*(Analysis_Medium!$B50=Medium_Complexity!$B$2:$B$72),0,1),0),MATCH(Analysis_Medium!G$42,Medium_Complexity!$A$2:$K$2,0))</f>
        <v>3</v>
      </c>
      <c r="H50" cm="1">
        <f t="array" ref="H50">INDEX(Medium_Complexity!$A$2:$K$72,MATCH(1,INDEX((Analysis_Medium!$A50=Medium_Complexity!$A$2:$A$72)*(Analysis_Medium!$B50=Medium_Complexity!$B$2:$B$72),0,1),0),MATCH(Analysis_Medium!H$42,Medium_Complexity!$A$2:$K$2,0))</f>
        <v>1</v>
      </c>
      <c r="I50" cm="1">
        <f t="array" ref="I50">INDEX(Medium_Complexity!$A$2:$K$72,MATCH(1,INDEX((Analysis_Medium!$A50=Medium_Complexity!$A$2:$A$72)*(Analysis_Medium!$B50=Medium_Complexity!$B$2:$B$72),0,1),0),MATCH(Analysis_Medium!I$42,Medium_Complexity!$A$2:$K$2,0))</f>
        <v>2</v>
      </c>
      <c r="J50" cm="1">
        <f t="array" ref="J50">INDEX(Medium_Complexity!$A$2:$K$72,MATCH(1,INDEX((Analysis_Medium!$A50=Medium_Complexity!$A$2:$A$72)*(Analysis_Medium!$B50=Medium_Complexity!$B$2:$B$72),0,1),0),MATCH(Analysis_Medium!J$42,Medium_Complexity!$A$2:$K$2,0))</f>
        <v>4</v>
      </c>
      <c r="K50" cm="1">
        <f t="array" ref="K50">INDEX(Medium_Complexity!$A$2:$M$72,MATCH(1,INDEX((Analysis_Medium!$A50=Medium_Complexity!$A$2:$A$72)*(Analysis_Medium!$B50=Medium_Complexity!$B$2:$B$72),0,1),0),MATCH(Analysis_Medium!K$23,Medium_Complexity!$A$2:$M$2,0))</f>
        <v>5</v>
      </c>
    </row>
    <row r="51" spans="1:11" x14ac:dyDescent="0.25">
      <c r="A51">
        <f t="shared" si="24"/>
        <v>9</v>
      </c>
      <c r="B51" t="s">
        <v>12</v>
      </c>
      <c r="C51" cm="1">
        <f t="array" ref="C51">INDEX(Medium_Complexity!$A$2:$K$72,MATCH(1,INDEX((Analysis_Medium!$A51=Medium_Complexity!$A$2:$A$72)*(Analysis_Medium!$B51=Medium_Complexity!$B$2:$B$72),0,1),0),MATCH(Analysis_Medium!C$42,Medium_Complexity!$A$2:$K$2,0))</f>
        <v>3</v>
      </c>
      <c r="D51" cm="1">
        <f t="array" ref="D51">INDEX(Medium_Complexity!$A$2:$K$72,MATCH(1,INDEX((Analysis_Medium!$A51=Medium_Complexity!$A$2:$A$72)*(Analysis_Medium!$B51=Medium_Complexity!$B$2:$B$72),0,1),0),MATCH(Analysis_Medium!D$42,Medium_Complexity!$A$2:$K$2,0))</f>
        <v>3</v>
      </c>
      <c r="E51" cm="1">
        <f t="array" ref="E51">INDEX(Medium_Complexity!$A$2:$K$72,MATCH(1,INDEX((Analysis_Medium!$A51=Medium_Complexity!$A$2:$A$72)*(Analysis_Medium!$B51=Medium_Complexity!$B$2:$B$72),0,1),0),MATCH(Analysis_Medium!E$42,Medium_Complexity!$A$2:$K$2,0))</f>
        <v>3</v>
      </c>
      <c r="F51" cm="1">
        <f t="array" ref="F51">INDEX(Medium_Complexity!$A$2:$K$72,MATCH(1,INDEX((Analysis_Medium!$A51=Medium_Complexity!$A$2:$A$72)*(Analysis_Medium!$B51=Medium_Complexity!$B$2:$B$72),0,1),0),MATCH(Analysis_Medium!F$42,Medium_Complexity!$A$2:$K$2,0))</f>
        <v>1</v>
      </c>
      <c r="G51" cm="1">
        <f t="array" ref="G51">INDEX(Medium_Complexity!$A$2:$K$72,MATCH(1,INDEX((Analysis_Medium!$A51=Medium_Complexity!$A$2:$A$72)*(Analysis_Medium!$B51=Medium_Complexity!$B$2:$B$72),0,1),0),MATCH(Analysis_Medium!G$42,Medium_Complexity!$A$2:$K$2,0))</f>
        <v>4</v>
      </c>
      <c r="H51" cm="1">
        <f t="array" ref="H51">INDEX(Medium_Complexity!$A$2:$K$72,MATCH(1,INDEX((Analysis_Medium!$A51=Medium_Complexity!$A$2:$A$72)*(Analysis_Medium!$B51=Medium_Complexity!$B$2:$B$72),0,1),0),MATCH(Analysis_Medium!H$42,Medium_Complexity!$A$2:$K$2,0))</f>
        <v>4</v>
      </c>
      <c r="I51" cm="1">
        <f t="array" ref="I51">INDEX(Medium_Complexity!$A$2:$K$72,MATCH(1,INDEX((Analysis_Medium!$A51=Medium_Complexity!$A$2:$A$72)*(Analysis_Medium!$B51=Medium_Complexity!$B$2:$B$72),0,1),0),MATCH(Analysis_Medium!I$42,Medium_Complexity!$A$2:$K$2,0))</f>
        <v>4</v>
      </c>
      <c r="J51" cm="1">
        <f t="array" ref="J51">INDEX(Medium_Complexity!$A$2:$K$72,MATCH(1,INDEX((Analysis_Medium!$A51=Medium_Complexity!$A$2:$A$72)*(Analysis_Medium!$B51=Medium_Complexity!$B$2:$B$72),0,1),0),MATCH(Analysis_Medium!J$42,Medium_Complexity!$A$2:$K$2,0))</f>
        <v>4</v>
      </c>
      <c r="K51" cm="1">
        <f t="array" ref="K51">INDEX(Medium_Complexity!$A$2:$M$72,MATCH(1,INDEX((Analysis_Medium!$A51=Medium_Complexity!$A$2:$A$72)*(Analysis_Medium!$B51=Medium_Complexity!$B$2:$B$72),0,1),0),MATCH(Analysis_Medium!K$23,Medium_Complexity!$A$2:$M$2,0))</f>
        <v>25</v>
      </c>
    </row>
    <row r="52" spans="1:11" x14ac:dyDescent="0.25">
      <c r="A52">
        <f t="shared" si="24"/>
        <v>10</v>
      </c>
      <c r="B52" t="s">
        <v>12</v>
      </c>
    </row>
    <row r="53" spans="1:11" x14ac:dyDescent="0.25">
      <c r="A53">
        <f t="shared" si="24"/>
        <v>11</v>
      </c>
      <c r="B53" t="s">
        <v>12</v>
      </c>
    </row>
    <row r="54" spans="1:11" x14ac:dyDescent="0.25">
      <c r="A54">
        <f t="shared" si="24"/>
        <v>12</v>
      </c>
      <c r="B54" t="s">
        <v>12</v>
      </c>
    </row>
    <row r="55" spans="1:11" x14ac:dyDescent="0.25">
      <c r="A55">
        <f t="shared" si="24"/>
        <v>13</v>
      </c>
      <c r="B55" t="s">
        <v>12</v>
      </c>
    </row>
    <row r="56" spans="1:11" x14ac:dyDescent="0.25">
      <c r="A56">
        <f t="shared" si="24"/>
        <v>14</v>
      </c>
      <c r="B56" t="s">
        <v>12</v>
      </c>
    </row>
    <row r="57" spans="1:11" x14ac:dyDescent="0.25">
      <c r="A57" s="2" t="s">
        <v>23</v>
      </c>
      <c r="B57" s="2"/>
      <c r="C57" s="2">
        <f>AVERAGE(C43:C56)</f>
        <v>3.7777777777777777</v>
      </c>
      <c r="D57" s="2">
        <f t="shared" ref="D57:K57" si="25">AVERAGE(D43:D56)</f>
        <v>3.3333333333333335</v>
      </c>
      <c r="E57" s="2">
        <f t="shared" si="25"/>
        <v>2.5555555555555554</v>
      </c>
      <c r="F57" s="2">
        <f t="shared" si="25"/>
        <v>2.3333333333333335</v>
      </c>
      <c r="G57" s="2">
        <f t="shared" si="25"/>
        <v>3</v>
      </c>
      <c r="H57" s="2">
        <f t="shared" si="25"/>
        <v>2.3333333333333335</v>
      </c>
      <c r="I57" s="2">
        <f t="shared" si="25"/>
        <v>3.6666666666666665</v>
      </c>
      <c r="J57" s="2">
        <f t="shared" si="25"/>
        <v>3.4444444444444446</v>
      </c>
      <c r="K57" s="2">
        <f t="shared" si="25"/>
        <v>12.777777777777779</v>
      </c>
    </row>
    <row r="58" spans="1:11" x14ac:dyDescent="0.25">
      <c r="A58" t="s">
        <v>24</v>
      </c>
      <c r="C58">
        <f>MEDIAN(C43:C56)</f>
        <v>4</v>
      </c>
      <c r="D58">
        <f t="shared" ref="D58:K58" si="26">MEDIAN(D43:D56)</f>
        <v>3</v>
      </c>
      <c r="E58">
        <f t="shared" si="26"/>
        <v>3</v>
      </c>
      <c r="F58">
        <f t="shared" si="26"/>
        <v>2</v>
      </c>
      <c r="G58">
        <f t="shared" si="26"/>
        <v>3</v>
      </c>
      <c r="H58">
        <f t="shared" si="26"/>
        <v>2</v>
      </c>
      <c r="I58">
        <f t="shared" si="26"/>
        <v>4</v>
      </c>
      <c r="J58">
        <f t="shared" si="26"/>
        <v>3</v>
      </c>
      <c r="K58">
        <f t="shared" si="26"/>
        <v>10</v>
      </c>
    </row>
    <row r="61" spans="1:11" x14ac:dyDescent="0.25">
      <c r="A61" s="1" t="s">
        <v>22</v>
      </c>
      <c r="B61" s="1" t="s">
        <v>0</v>
      </c>
      <c r="C61" s="1" t="s">
        <v>1</v>
      </c>
      <c r="D61" s="1" t="s">
        <v>37</v>
      </c>
      <c r="E61" s="1" t="s">
        <v>3</v>
      </c>
      <c r="F61" s="1" t="s">
        <v>38</v>
      </c>
      <c r="G61" s="1" t="s">
        <v>5</v>
      </c>
      <c r="H61" s="1" t="s">
        <v>41</v>
      </c>
      <c r="I61" s="1" t="s">
        <v>42</v>
      </c>
      <c r="J61" s="13" t="s">
        <v>39</v>
      </c>
      <c r="K61" s="1" t="s">
        <v>10</v>
      </c>
    </row>
    <row r="62" spans="1:11" x14ac:dyDescent="0.25">
      <c r="A62">
        <v>1</v>
      </c>
      <c r="B62" t="s">
        <v>15</v>
      </c>
      <c r="C62" cm="1">
        <f t="array" ref="C62">INDEX(Medium_Complexity!$A$2:$K$72,MATCH(1,INDEX((Analysis_Medium!$A62=Medium_Complexity!$A$2:$A$72)*(Analysis_Medium!$B62=Medium_Complexity!$B$2:$B$72),0,1),0),MATCH(Analysis_Medium!C$42,Medium_Complexity!$A$2:$K$2,0))</f>
        <v>3</v>
      </c>
      <c r="D62" cm="1">
        <f t="array" ref="D62">INDEX(Medium_Complexity!$A$2:$K$72,MATCH(1,INDEX((Analysis_Medium!$A62=Medium_Complexity!$A$2:$A$72)*(Analysis_Medium!$B62=Medium_Complexity!$B$2:$B$72),0,1),0),MATCH(Analysis_Medium!D$42,Medium_Complexity!$A$2:$K$2,0))</f>
        <v>4</v>
      </c>
      <c r="E62" cm="1">
        <f t="array" ref="E62">INDEX(Medium_Complexity!$A$2:$K$72,MATCH(1,INDEX((Analysis_Medium!$A62=Medium_Complexity!$A$2:$A$72)*(Analysis_Medium!$B62=Medium_Complexity!$B$2:$B$72),0,1),0),MATCH(Analysis_Medium!E$42,Medium_Complexity!$A$2:$K$2,0))</f>
        <v>3</v>
      </c>
      <c r="F62" cm="1">
        <f t="array" ref="F62">INDEX(Medium_Complexity!$A$2:$K$72,MATCH(1,INDEX((Analysis_Medium!$A62=Medium_Complexity!$A$2:$A$72)*(Analysis_Medium!$B62=Medium_Complexity!$B$2:$B$72),0,1),0),MATCH(Analysis_Medium!F$42,Medium_Complexity!$A$2:$K$2,0))</f>
        <v>4</v>
      </c>
      <c r="G62" cm="1">
        <f t="array" ref="G62">INDEX(Medium_Complexity!$A$2:$K$72,MATCH(1,INDEX((Analysis_Medium!$A62=Medium_Complexity!$A$2:$A$72)*(Analysis_Medium!$B62=Medium_Complexity!$B$2:$B$72),0,1),0),MATCH(Analysis_Medium!G$42,Medium_Complexity!$A$2:$K$2,0))</f>
        <v>3</v>
      </c>
      <c r="H62" cm="1">
        <f t="array" ref="H62">INDEX(Medium_Complexity!$A$2:$K$72,MATCH(1,INDEX((Analysis_Medium!$A62=Medium_Complexity!$A$2:$A$72)*(Analysis_Medium!$B62=Medium_Complexity!$B$2:$B$72),0,1),0),MATCH(Analysis_Medium!H$42,Medium_Complexity!$A$2:$K$2,0))</f>
        <v>5</v>
      </c>
      <c r="I62" cm="1">
        <f t="array" ref="I62">INDEX(Medium_Complexity!$A$2:$K$72,MATCH(1,INDEX((Analysis_Medium!$A62=Medium_Complexity!$A$2:$A$72)*(Analysis_Medium!$B62=Medium_Complexity!$B$2:$B$72),0,1),0),MATCH(Analysis_Medium!I$42,Medium_Complexity!$A$2:$K$2,0))</f>
        <v>2</v>
      </c>
      <c r="J62" cm="1">
        <f t="array" ref="J62">INDEX(Medium_Complexity!$A$2:$K$72,MATCH(1,INDEX((Analysis_Medium!$A62=Medium_Complexity!$A$2:$A$72)*(Analysis_Medium!$B62=Medium_Complexity!$B$2:$B$72),0,1),0),MATCH(Analysis_Medium!J$42,Medium_Complexity!$A$2:$K$2,0))</f>
        <v>3</v>
      </c>
      <c r="K62" cm="1">
        <f t="array" ref="K62">INDEX(Medium_Complexity!$A$2:$M$72,MATCH(1,INDEX((Analysis_Medium!$A62=Medium_Complexity!$A$2:$A$72)*(Analysis_Medium!$B62=Medium_Complexity!$B$2:$B$72),0,1),0),MATCH(Analysis_Medium!K$23,Medium_Complexity!$A$2:$M$2,0))</f>
        <v>25</v>
      </c>
    </row>
    <row r="63" spans="1:11" x14ac:dyDescent="0.25">
      <c r="A63">
        <f>A62+1</f>
        <v>2</v>
      </c>
      <c r="B63" t="s">
        <v>15</v>
      </c>
      <c r="C63" cm="1">
        <f t="array" ref="C63">INDEX(Medium_Complexity!$A$2:$K$72,MATCH(1,INDEX((Analysis_Medium!$A63=Medium_Complexity!$A$2:$A$72)*(Analysis_Medium!$B63=Medium_Complexity!$B$2:$B$72),0,1),0),MATCH(Analysis_Medium!C$42,Medium_Complexity!$A$2:$K$2,0))</f>
        <v>1</v>
      </c>
      <c r="D63" cm="1">
        <f t="array" ref="D63">INDEX(Medium_Complexity!$A$2:$K$72,MATCH(1,INDEX((Analysis_Medium!$A63=Medium_Complexity!$A$2:$A$72)*(Analysis_Medium!$B63=Medium_Complexity!$B$2:$B$72),0,1),0),MATCH(Analysis_Medium!D$42,Medium_Complexity!$A$2:$K$2,0))</f>
        <v>2</v>
      </c>
      <c r="E63" cm="1">
        <f t="array" ref="E63">INDEX(Medium_Complexity!$A$2:$K$72,MATCH(1,INDEX((Analysis_Medium!$A63=Medium_Complexity!$A$2:$A$72)*(Analysis_Medium!$B63=Medium_Complexity!$B$2:$B$72),0,1),0),MATCH(Analysis_Medium!E$42,Medium_Complexity!$A$2:$K$2,0))</f>
        <v>1</v>
      </c>
      <c r="F63" cm="1">
        <f t="array" ref="F63">INDEX(Medium_Complexity!$A$2:$K$72,MATCH(1,INDEX((Analysis_Medium!$A63=Medium_Complexity!$A$2:$A$72)*(Analysis_Medium!$B63=Medium_Complexity!$B$2:$B$72),0,1),0),MATCH(Analysis_Medium!F$42,Medium_Complexity!$A$2:$K$2,0))</f>
        <v>2</v>
      </c>
      <c r="G63" cm="1">
        <f t="array" ref="G63">INDEX(Medium_Complexity!$A$2:$K$72,MATCH(1,INDEX((Analysis_Medium!$A63=Medium_Complexity!$A$2:$A$72)*(Analysis_Medium!$B63=Medium_Complexity!$B$2:$B$72),0,1),0),MATCH(Analysis_Medium!G$42,Medium_Complexity!$A$2:$K$2,0))</f>
        <v>2</v>
      </c>
      <c r="H63" cm="1">
        <f t="array" ref="H63">INDEX(Medium_Complexity!$A$2:$K$72,MATCH(1,INDEX((Analysis_Medium!$A63=Medium_Complexity!$A$2:$A$72)*(Analysis_Medium!$B63=Medium_Complexity!$B$2:$B$72),0,1),0),MATCH(Analysis_Medium!H$42,Medium_Complexity!$A$2:$K$2,0))</f>
        <v>5</v>
      </c>
      <c r="I63" cm="1">
        <f t="array" ref="I63">INDEX(Medium_Complexity!$A$2:$K$72,MATCH(1,INDEX((Analysis_Medium!$A63=Medium_Complexity!$A$2:$A$72)*(Analysis_Medium!$B63=Medium_Complexity!$B$2:$B$72),0,1),0),MATCH(Analysis_Medium!I$42,Medium_Complexity!$A$2:$K$2,0))</f>
        <v>2</v>
      </c>
      <c r="J63" cm="1">
        <f t="array" ref="J63">INDEX(Medium_Complexity!$A$2:$K$72,MATCH(1,INDEX((Analysis_Medium!$A63=Medium_Complexity!$A$2:$A$72)*(Analysis_Medium!$B63=Medium_Complexity!$B$2:$B$72),0,1),0),MATCH(Analysis_Medium!J$42,Medium_Complexity!$A$2:$K$2,0))</f>
        <v>1</v>
      </c>
      <c r="K63" cm="1">
        <f t="array" ref="K63">INDEX(Medium_Complexity!$A$2:$M$72,MATCH(1,INDEX((Analysis_Medium!$A63=Medium_Complexity!$A$2:$A$72)*(Analysis_Medium!$B63=Medium_Complexity!$B$2:$B$72),0,1),0),MATCH(Analysis_Medium!K$23,Medium_Complexity!$A$2:$M$2,0))</f>
        <v>40</v>
      </c>
    </row>
    <row r="64" spans="1:11" x14ac:dyDescent="0.25">
      <c r="A64">
        <f t="shared" ref="A64:A75" si="27">A63+1</f>
        <v>3</v>
      </c>
      <c r="B64" t="s">
        <v>15</v>
      </c>
      <c r="C64" cm="1">
        <f t="array" ref="C64">INDEX(Medium_Complexity!$A$2:$K$72,MATCH(1,INDEX((Analysis_Medium!$A64=Medium_Complexity!$A$2:$A$72)*(Analysis_Medium!$B64=Medium_Complexity!$B$2:$B$72),0,1),0),MATCH(Analysis_Medium!C$42,Medium_Complexity!$A$2:$K$2,0))</f>
        <v>1</v>
      </c>
      <c r="D64" cm="1">
        <f t="array" ref="D64">INDEX(Medium_Complexity!$A$2:$K$72,MATCH(1,INDEX((Analysis_Medium!$A64=Medium_Complexity!$A$2:$A$72)*(Analysis_Medium!$B64=Medium_Complexity!$B$2:$B$72),0,1),0),MATCH(Analysis_Medium!D$42,Medium_Complexity!$A$2:$K$2,0))</f>
        <v>2</v>
      </c>
      <c r="E64" cm="1">
        <f t="array" ref="E64">INDEX(Medium_Complexity!$A$2:$K$72,MATCH(1,INDEX((Analysis_Medium!$A64=Medium_Complexity!$A$2:$A$72)*(Analysis_Medium!$B64=Medium_Complexity!$B$2:$B$72),0,1),0),MATCH(Analysis_Medium!E$42,Medium_Complexity!$A$2:$K$2,0))</f>
        <v>1</v>
      </c>
      <c r="F64" cm="1">
        <f t="array" ref="F64">INDEX(Medium_Complexity!$A$2:$K$72,MATCH(1,INDEX((Analysis_Medium!$A64=Medium_Complexity!$A$2:$A$72)*(Analysis_Medium!$B64=Medium_Complexity!$B$2:$B$72),0,1),0),MATCH(Analysis_Medium!F$42,Medium_Complexity!$A$2:$K$2,0))</f>
        <v>2</v>
      </c>
      <c r="G64" cm="1">
        <f t="array" ref="G64">INDEX(Medium_Complexity!$A$2:$K$72,MATCH(1,INDEX((Analysis_Medium!$A64=Medium_Complexity!$A$2:$A$72)*(Analysis_Medium!$B64=Medium_Complexity!$B$2:$B$72),0,1),0),MATCH(Analysis_Medium!G$42,Medium_Complexity!$A$2:$K$2,0))</f>
        <v>2</v>
      </c>
      <c r="H64" cm="1">
        <f t="array" ref="H64">INDEX(Medium_Complexity!$A$2:$K$72,MATCH(1,INDEX((Analysis_Medium!$A64=Medium_Complexity!$A$2:$A$72)*(Analysis_Medium!$B64=Medium_Complexity!$B$2:$B$72),0,1),0),MATCH(Analysis_Medium!H$42,Medium_Complexity!$A$2:$K$2,0))</f>
        <v>5</v>
      </c>
      <c r="I64" cm="1">
        <f t="array" ref="I64">INDEX(Medium_Complexity!$A$2:$K$72,MATCH(1,INDEX((Analysis_Medium!$A64=Medium_Complexity!$A$2:$A$72)*(Analysis_Medium!$B64=Medium_Complexity!$B$2:$B$72),0,1),0),MATCH(Analysis_Medium!I$42,Medium_Complexity!$A$2:$K$2,0))</f>
        <v>2</v>
      </c>
      <c r="J64" cm="1">
        <f t="array" ref="J64">INDEX(Medium_Complexity!$A$2:$K$72,MATCH(1,INDEX((Analysis_Medium!$A64=Medium_Complexity!$A$2:$A$72)*(Analysis_Medium!$B64=Medium_Complexity!$B$2:$B$72),0,1),0),MATCH(Analysis_Medium!J$42,Medium_Complexity!$A$2:$K$2,0))</f>
        <v>3</v>
      </c>
      <c r="K64" cm="1">
        <f t="array" ref="K64">INDEX(Medium_Complexity!$A$2:$M$72,MATCH(1,INDEX((Analysis_Medium!$A64=Medium_Complexity!$A$2:$A$72)*(Analysis_Medium!$B64=Medium_Complexity!$B$2:$B$72),0,1),0),MATCH(Analysis_Medium!K$23,Medium_Complexity!$A$2:$M$2,0))</f>
        <v>25</v>
      </c>
    </row>
    <row r="65" spans="1:11" x14ac:dyDescent="0.25">
      <c r="A65">
        <f t="shared" si="27"/>
        <v>4</v>
      </c>
      <c r="B65" t="s">
        <v>15</v>
      </c>
      <c r="C65" cm="1">
        <f t="array" ref="C65">INDEX(Medium_Complexity!$A$2:$K$72,MATCH(1,INDEX((Analysis_Medium!$A65=Medium_Complexity!$A$2:$A$72)*(Analysis_Medium!$B65=Medium_Complexity!$B$2:$B$72),0,1),0),MATCH(Analysis_Medium!C$42,Medium_Complexity!$A$2:$K$2,0))</f>
        <v>2</v>
      </c>
      <c r="D65" cm="1">
        <f t="array" ref="D65">INDEX(Medium_Complexity!$A$2:$K$72,MATCH(1,INDEX((Analysis_Medium!$A65=Medium_Complexity!$A$2:$A$72)*(Analysis_Medium!$B65=Medium_Complexity!$B$2:$B$72),0,1),0),MATCH(Analysis_Medium!D$42,Medium_Complexity!$A$2:$K$2,0))</f>
        <v>3</v>
      </c>
      <c r="E65" cm="1">
        <f t="array" ref="E65">INDEX(Medium_Complexity!$A$2:$K$72,MATCH(1,INDEX((Analysis_Medium!$A65=Medium_Complexity!$A$2:$A$72)*(Analysis_Medium!$B65=Medium_Complexity!$B$2:$B$72),0,1),0),MATCH(Analysis_Medium!E$42,Medium_Complexity!$A$2:$K$2,0))</f>
        <v>2</v>
      </c>
      <c r="F65" cm="1">
        <f t="array" ref="F65">INDEX(Medium_Complexity!$A$2:$K$72,MATCH(1,INDEX((Analysis_Medium!$A65=Medium_Complexity!$A$2:$A$72)*(Analysis_Medium!$B65=Medium_Complexity!$B$2:$B$72),0,1),0),MATCH(Analysis_Medium!F$42,Medium_Complexity!$A$2:$K$2,0))</f>
        <v>4</v>
      </c>
      <c r="G65" cm="1">
        <f t="array" ref="G65">INDEX(Medium_Complexity!$A$2:$K$72,MATCH(1,INDEX((Analysis_Medium!$A65=Medium_Complexity!$A$2:$A$72)*(Analysis_Medium!$B65=Medium_Complexity!$B$2:$B$72),0,1),0),MATCH(Analysis_Medium!G$42,Medium_Complexity!$A$2:$K$2,0))</f>
        <v>4</v>
      </c>
      <c r="H65" cm="1">
        <f t="array" ref="H65">INDEX(Medium_Complexity!$A$2:$K$72,MATCH(1,INDEX((Analysis_Medium!$A65=Medium_Complexity!$A$2:$A$72)*(Analysis_Medium!$B65=Medium_Complexity!$B$2:$B$72),0,1),0),MATCH(Analysis_Medium!H$42,Medium_Complexity!$A$2:$K$2,0))</f>
        <v>3</v>
      </c>
      <c r="I65" cm="1">
        <f t="array" ref="I65">INDEX(Medium_Complexity!$A$2:$K$72,MATCH(1,INDEX((Analysis_Medium!$A65=Medium_Complexity!$A$2:$A$72)*(Analysis_Medium!$B65=Medium_Complexity!$B$2:$B$72),0,1),0),MATCH(Analysis_Medium!I$42,Medium_Complexity!$A$2:$K$2,0))</f>
        <v>2</v>
      </c>
      <c r="J65" cm="1">
        <f t="array" ref="J65">INDEX(Medium_Complexity!$A$2:$K$72,MATCH(1,INDEX((Analysis_Medium!$A65=Medium_Complexity!$A$2:$A$72)*(Analysis_Medium!$B65=Medium_Complexity!$B$2:$B$72),0,1),0),MATCH(Analysis_Medium!J$42,Medium_Complexity!$A$2:$K$2,0))</f>
        <v>4</v>
      </c>
      <c r="K65" cm="1">
        <f t="array" ref="K65">INDEX(Medium_Complexity!$A$2:$M$72,MATCH(1,INDEX((Analysis_Medium!$A65=Medium_Complexity!$A$2:$A$72)*(Analysis_Medium!$B65=Medium_Complexity!$B$2:$B$72),0,1),0),MATCH(Analysis_Medium!K$23,Medium_Complexity!$A$2:$M$2,0))</f>
        <v>35</v>
      </c>
    </row>
    <row r="66" spans="1:11" x14ac:dyDescent="0.25">
      <c r="A66">
        <f t="shared" si="27"/>
        <v>5</v>
      </c>
      <c r="B66" t="s">
        <v>15</v>
      </c>
      <c r="C66" cm="1">
        <f t="array" ref="C66">INDEX(Medium_Complexity!$A$2:$K$72,MATCH(1,INDEX((Analysis_Medium!$A66=Medium_Complexity!$A$2:$A$72)*(Analysis_Medium!$B66=Medium_Complexity!$B$2:$B$72),0,1),0),MATCH(Analysis_Medium!C$42,Medium_Complexity!$A$2:$K$2,0))</f>
        <v>2</v>
      </c>
      <c r="D66" cm="1">
        <f t="array" ref="D66">INDEX(Medium_Complexity!$A$2:$K$72,MATCH(1,INDEX((Analysis_Medium!$A66=Medium_Complexity!$A$2:$A$72)*(Analysis_Medium!$B66=Medium_Complexity!$B$2:$B$72),0,1),0),MATCH(Analysis_Medium!D$42,Medium_Complexity!$A$2:$K$2,0))</f>
        <v>5</v>
      </c>
      <c r="E66" cm="1">
        <f t="array" ref="E66">INDEX(Medium_Complexity!$A$2:$K$72,MATCH(1,INDEX((Analysis_Medium!$A66=Medium_Complexity!$A$2:$A$72)*(Analysis_Medium!$B66=Medium_Complexity!$B$2:$B$72),0,1),0),MATCH(Analysis_Medium!E$42,Medium_Complexity!$A$2:$K$2,0))</f>
        <v>1</v>
      </c>
      <c r="F66" cm="1">
        <f t="array" ref="F66">INDEX(Medium_Complexity!$A$2:$K$72,MATCH(1,INDEX((Analysis_Medium!$A66=Medium_Complexity!$A$2:$A$72)*(Analysis_Medium!$B66=Medium_Complexity!$B$2:$B$72),0,1),0),MATCH(Analysis_Medium!F$42,Medium_Complexity!$A$2:$K$2,0))</f>
        <v>4</v>
      </c>
      <c r="G66" cm="1">
        <f t="array" ref="G66">INDEX(Medium_Complexity!$A$2:$K$72,MATCH(1,INDEX((Analysis_Medium!$A66=Medium_Complexity!$A$2:$A$72)*(Analysis_Medium!$B66=Medium_Complexity!$B$2:$B$72),0,1),0),MATCH(Analysis_Medium!G$42,Medium_Complexity!$A$2:$K$2,0))</f>
        <v>2</v>
      </c>
      <c r="H66" cm="1">
        <f t="array" ref="H66">INDEX(Medium_Complexity!$A$2:$K$72,MATCH(1,INDEX((Analysis_Medium!$A66=Medium_Complexity!$A$2:$A$72)*(Analysis_Medium!$B66=Medium_Complexity!$B$2:$B$72),0,1),0),MATCH(Analysis_Medium!H$42,Medium_Complexity!$A$2:$K$2,0))</f>
        <v>4</v>
      </c>
      <c r="I66" cm="1">
        <f t="array" ref="I66">INDEX(Medium_Complexity!$A$2:$K$72,MATCH(1,INDEX((Analysis_Medium!$A66=Medium_Complexity!$A$2:$A$72)*(Analysis_Medium!$B66=Medium_Complexity!$B$2:$B$72),0,1),0),MATCH(Analysis_Medium!I$42,Medium_Complexity!$A$2:$K$2,0))</f>
        <v>2</v>
      </c>
      <c r="J66" cm="1">
        <f t="array" ref="J66">INDEX(Medium_Complexity!$A$2:$K$72,MATCH(1,INDEX((Analysis_Medium!$A66=Medium_Complexity!$A$2:$A$72)*(Analysis_Medium!$B66=Medium_Complexity!$B$2:$B$72),0,1),0),MATCH(Analysis_Medium!J$42,Medium_Complexity!$A$2:$K$2,0))</f>
        <v>1</v>
      </c>
      <c r="K66" cm="1">
        <f t="array" ref="K66">INDEX(Medium_Complexity!$A$2:$M$72,MATCH(1,INDEX((Analysis_Medium!$A66=Medium_Complexity!$A$2:$A$72)*(Analysis_Medium!$B66=Medium_Complexity!$B$2:$B$72),0,1),0),MATCH(Analysis_Medium!K$23,Medium_Complexity!$A$2:$M$2,0))</f>
        <v>40</v>
      </c>
    </row>
    <row r="67" spans="1:11" x14ac:dyDescent="0.25">
      <c r="A67">
        <f t="shared" si="27"/>
        <v>6</v>
      </c>
      <c r="B67" t="s">
        <v>15</v>
      </c>
      <c r="C67" cm="1">
        <f t="array" ref="C67">INDEX(Medium_Complexity!$A$2:$K$72,MATCH(1,INDEX((Analysis_Medium!$A67=Medium_Complexity!$A$2:$A$72)*(Analysis_Medium!$B67=Medium_Complexity!$B$2:$B$72),0,1),0),MATCH(Analysis_Medium!C$42,Medium_Complexity!$A$2:$K$2,0))</f>
        <v>1</v>
      </c>
      <c r="D67" cm="1">
        <f t="array" ref="D67">INDEX(Medium_Complexity!$A$2:$K$72,MATCH(1,INDEX((Analysis_Medium!$A67=Medium_Complexity!$A$2:$A$72)*(Analysis_Medium!$B67=Medium_Complexity!$B$2:$B$72),0,1),0),MATCH(Analysis_Medium!D$42,Medium_Complexity!$A$2:$K$2,0))</f>
        <v>2</v>
      </c>
      <c r="E67" cm="1">
        <f t="array" ref="E67">INDEX(Medium_Complexity!$A$2:$K$72,MATCH(1,INDEX((Analysis_Medium!$A67=Medium_Complexity!$A$2:$A$72)*(Analysis_Medium!$B67=Medium_Complexity!$B$2:$B$72),0,1),0),MATCH(Analysis_Medium!E$42,Medium_Complexity!$A$2:$K$2,0))</f>
        <v>2</v>
      </c>
      <c r="F67" cm="1">
        <f t="array" ref="F67">INDEX(Medium_Complexity!$A$2:$K$72,MATCH(1,INDEX((Analysis_Medium!$A67=Medium_Complexity!$A$2:$A$72)*(Analysis_Medium!$B67=Medium_Complexity!$B$2:$B$72),0,1),0),MATCH(Analysis_Medium!F$42,Medium_Complexity!$A$2:$K$2,0))</f>
        <v>2</v>
      </c>
      <c r="G67" cm="1">
        <f t="array" ref="G67">INDEX(Medium_Complexity!$A$2:$K$72,MATCH(1,INDEX((Analysis_Medium!$A67=Medium_Complexity!$A$2:$A$72)*(Analysis_Medium!$B67=Medium_Complexity!$B$2:$B$72),0,1),0),MATCH(Analysis_Medium!G$42,Medium_Complexity!$A$2:$K$2,0))</f>
        <v>2</v>
      </c>
      <c r="H67" cm="1">
        <f t="array" ref="H67">INDEX(Medium_Complexity!$A$2:$K$72,MATCH(1,INDEX((Analysis_Medium!$A67=Medium_Complexity!$A$2:$A$72)*(Analysis_Medium!$B67=Medium_Complexity!$B$2:$B$72),0,1),0),MATCH(Analysis_Medium!H$42,Medium_Complexity!$A$2:$K$2,0))</f>
        <v>5</v>
      </c>
      <c r="I67" cm="1">
        <f t="array" ref="I67">INDEX(Medium_Complexity!$A$2:$K$72,MATCH(1,INDEX((Analysis_Medium!$A67=Medium_Complexity!$A$2:$A$72)*(Analysis_Medium!$B67=Medium_Complexity!$B$2:$B$72),0,1),0),MATCH(Analysis_Medium!I$42,Medium_Complexity!$A$2:$K$2,0))</f>
        <v>1</v>
      </c>
      <c r="J67" cm="1">
        <f t="array" ref="J67">INDEX(Medium_Complexity!$A$2:$K$72,MATCH(1,INDEX((Analysis_Medium!$A67=Medium_Complexity!$A$2:$A$72)*(Analysis_Medium!$B67=Medium_Complexity!$B$2:$B$72),0,1),0),MATCH(Analysis_Medium!J$42,Medium_Complexity!$A$2:$K$2,0))</f>
        <v>2</v>
      </c>
      <c r="K67" cm="1">
        <f t="array" ref="K67">INDEX(Medium_Complexity!$A$2:$M$72,MATCH(1,INDEX((Analysis_Medium!$A67=Medium_Complexity!$A$2:$A$72)*(Analysis_Medium!$B67=Medium_Complexity!$B$2:$B$72),0,1),0),MATCH(Analysis_Medium!K$23,Medium_Complexity!$A$2:$M$2,0))</f>
        <v>30</v>
      </c>
    </row>
    <row r="68" spans="1:11" x14ac:dyDescent="0.25">
      <c r="A68">
        <f t="shared" si="27"/>
        <v>7</v>
      </c>
      <c r="B68" t="s">
        <v>15</v>
      </c>
      <c r="C68" cm="1">
        <f t="array" ref="C68">INDEX(Medium_Complexity!$A$2:$K$72,MATCH(1,INDEX((Analysis_Medium!$A68=Medium_Complexity!$A$2:$A$72)*(Analysis_Medium!$B68=Medium_Complexity!$B$2:$B$72),0,1),0),MATCH(Analysis_Medium!C$42,Medium_Complexity!$A$2:$K$2,0))</f>
        <v>1</v>
      </c>
      <c r="D68" cm="1">
        <f t="array" ref="D68">INDEX(Medium_Complexity!$A$2:$K$72,MATCH(1,INDEX((Analysis_Medium!$A68=Medium_Complexity!$A$2:$A$72)*(Analysis_Medium!$B68=Medium_Complexity!$B$2:$B$72),0,1),0),MATCH(Analysis_Medium!D$42,Medium_Complexity!$A$2:$K$2,0))</f>
        <v>3</v>
      </c>
      <c r="E68" cm="1">
        <f t="array" ref="E68">INDEX(Medium_Complexity!$A$2:$K$72,MATCH(1,INDEX((Analysis_Medium!$A68=Medium_Complexity!$A$2:$A$72)*(Analysis_Medium!$B68=Medium_Complexity!$B$2:$B$72),0,1),0),MATCH(Analysis_Medium!E$42,Medium_Complexity!$A$2:$K$2,0))</f>
        <v>2</v>
      </c>
      <c r="F68" cm="1">
        <f t="array" ref="F68">INDEX(Medium_Complexity!$A$2:$K$72,MATCH(1,INDEX((Analysis_Medium!$A68=Medium_Complexity!$A$2:$A$72)*(Analysis_Medium!$B68=Medium_Complexity!$B$2:$B$72),0,1),0),MATCH(Analysis_Medium!F$42,Medium_Complexity!$A$2:$K$2,0))</f>
        <v>3</v>
      </c>
      <c r="G68" cm="1">
        <f t="array" ref="G68">INDEX(Medium_Complexity!$A$2:$K$72,MATCH(1,INDEX((Analysis_Medium!$A68=Medium_Complexity!$A$2:$A$72)*(Analysis_Medium!$B68=Medium_Complexity!$B$2:$B$72),0,1),0),MATCH(Analysis_Medium!G$42,Medium_Complexity!$A$2:$K$2,0))</f>
        <v>4</v>
      </c>
      <c r="H68" cm="1">
        <f t="array" ref="H68">INDEX(Medium_Complexity!$A$2:$K$72,MATCH(1,INDEX((Analysis_Medium!$A68=Medium_Complexity!$A$2:$A$72)*(Analysis_Medium!$B68=Medium_Complexity!$B$2:$B$72),0,1),0),MATCH(Analysis_Medium!H$42,Medium_Complexity!$A$2:$K$2,0))</f>
        <v>5</v>
      </c>
      <c r="I68" cm="1">
        <f t="array" ref="I68">INDEX(Medium_Complexity!$A$2:$K$72,MATCH(1,INDEX((Analysis_Medium!$A68=Medium_Complexity!$A$2:$A$72)*(Analysis_Medium!$B68=Medium_Complexity!$B$2:$B$72),0,1),0),MATCH(Analysis_Medium!I$42,Medium_Complexity!$A$2:$K$2,0))</f>
        <v>1</v>
      </c>
      <c r="J68" cm="1">
        <f t="array" ref="J68">INDEX(Medium_Complexity!$A$2:$K$72,MATCH(1,INDEX((Analysis_Medium!$A68=Medium_Complexity!$A$2:$A$72)*(Analysis_Medium!$B68=Medium_Complexity!$B$2:$B$72),0,1),0),MATCH(Analysis_Medium!J$42,Medium_Complexity!$A$2:$K$2,0))</f>
        <v>3</v>
      </c>
      <c r="K68" cm="1">
        <f t="array" ref="K68">INDEX(Medium_Complexity!$A$2:$M$72,MATCH(1,INDEX((Analysis_Medium!$A68=Medium_Complexity!$A$2:$A$72)*(Analysis_Medium!$B68=Medium_Complexity!$B$2:$B$72),0,1),0),MATCH(Analysis_Medium!K$23,Medium_Complexity!$A$2:$M$2,0))</f>
        <v>25</v>
      </c>
    </row>
    <row r="69" spans="1:11" x14ac:dyDescent="0.25">
      <c r="A69">
        <f t="shared" si="27"/>
        <v>8</v>
      </c>
      <c r="B69" t="s">
        <v>15</v>
      </c>
      <c r="C69" cm="1">
        <f t="array" ref="C69">INDEX(Medium_Complexity!$A$2:$K$72,MATCH(1,INDEX((Analysis_Medium!$A69=Medium_Complexity!$A$2:$A$72)*(Analysis_Medium!$B69=Medium_Complexity!$B$2:$B$72),0,1),0),MATCH(Analysis_Medium!C$42,Medium_Complexity!$A$2:$K$2,0))</f>
        <v>2</v>
      </c>
      <c r="D69" cm="1">
        <f t="array" ref="D69">INDEX(Medium_Complexity!$A$2:$K$72,MATCH(1,INDEX((Analysis_Medium!$A69=Medium_Complexity!$A$2:$A$72)*(Analysis_Medium!$B69=Medium_Complexity!$B$2:$B$72),0,1),0),MATCH(Analysis_Medium!D$42,Medium_Complexity!$A$2:$K$2,0))</f>
        <v>4</v>
      </c>
      <c r="E69" cm="1">
        <f t="array" ref="E69">INDEX(Medium_Complexity!$A$2:$K$72,MATCH(1,INDEX((Analysis_Medium!$A69=Medium_Complexity!$A$2:$A$72)*(Analysis_Medium!$B69=Medium_Complexity!$B$2:$B$72),0,1),0),MATCH(Analysis_Medium!E$42,Medium_Complexity!$A$2:$K$2,0))</f>
        <v>2</v>
      </c>
      <c r="F69" cm="1">
        <f t="array" ref="F69">INDEX(Medium_Complexity!$A$2:$K$72,MATCH(1,INDEX((Analysis_Medium!$A69=Medium_Complexity!$A$2:$A$72)*(Analysis_Medium!$B69=Medium_Complexity!$B$2:$B$72),0,1),0),MATCH(Analysis_Medium!F$42,Medium_Complexity!$A$2:$K$2,0))</f>
        <v>4</v>
      </c>
      <c r="G69" cm="1">
        <f t="array" ref="G69">INDEX(Medium_Complexity!$A$2:$K$72,MATCH(1,INDEX((Analysis_Medium!$A69=Medium_Complexity!$A$2:$A$72)*(Analysis_Medium!$B69=Medium_Complexity!$B$2:$B$72),0,1),0),MATCH(Analysis_Medium!G$42,Medium_Complexity!$A$2:$K$2,0))</f>
        <v>4</v>
      </c>
      <c r="H69" cm="1">
        <f t="array" ref="H69">INDEX(Medium_Complexity!$A$2:$K$72,MATCH(1,INDEX((Analysis_Medium!$A69=Medium_Complexity!$A$2:$A$72)*(Analysis_Medium!$B69=Medium_Complexity!$B$2:$B$72),0,1),0),MATCH(Analysis_Medium!H$42,Medium_Complexity!$A$2:$K$2,0))</f>
        <v>2</v>
      </c>
      <c r="I69" cm="1">
        <f t="array" ref="I69">INDEX(Medium_Complexity!$A$2:$K$72,MATCH(1,INDEX((Analysis_Medium!$A69=Medium_Complexity!$A$2:$A$72)*(Analysis_Medium!$B69=Medium_Complexity!$B$2:$B$72),0,1),0),MATCH(Analysis_Medium!I$42,Medium_Complexity!$A$2:$K$2,0))</f>
        <v>2</v>
      </c>
      <c r="J69" cm="1">
        <f t="array" ref="J69">INDEX(Medium_Complexity!$A$2:$K$72,MATCH(1,INDEX((Analysis_Medium!$A69=Medium_Complexity!$A$2:$A$72)*(Analysis_Medium!$B69=Medium_Complexity!$B$2:$B$72),0,1),0),MATCH(Analysis_Medium!J$42,Medium_Complexity!$A$2:$K$2,0))</f>
        <v>5</v>
      </c>
      <c r="K69" cm="1">
        <f t="array" ref="K69">INDEX(Medium_Complexity!$A$2:$M$72,MATCH(1,INDEX((Analysis_Medium!$A69=Medium_Complexity!$A$2:$A$72)*(Analysis_Medium!$B69=Medium_Complexity!$B$2:$B$72),0,1),0),MATCH(Analysis_Medium!K$23,Medium_Complexity!$A$2:$M$2,0))</f>
        <v>20</v>
      </c>
    </row>
    <row r="70" spans="1:11" x14ac:dyDescent="0.25">
      <c r="A70">
        <f t="shared" si="27"/>
        <v>9</v>
      </c>
      <c r="B70" t="s">
        <v>15</v>
      </c>
      <c r="C70" cm="1">
        <f t="array" ref="C70">INDEX(Medium_Complexity!$A$2:$K$72,MATCH(1,INDEX((Analysis_Medium!$A70=Medium_Complexity!$A$2:$A$72)*(Analysis_Medium!$B70=Medium_Complexity!$B$2:$B$72),0,1),0),MATCH(Analysis_Medium!C$42,Medium_Complexity!$A$2:$K$2,0))</f>
        <v>2</v>
      </c>
      <c r="D70" cm="1">
        <f t="array" ref="D70">INDEX(Medium_Complexity!$A$2:$K$72,MATCH(1,INDEX((Analysis_Medium!$A70=Medium_Complexity!$A$2:$A$72)*(Analysis_Medium!$B70=Medium_Complexity!$B$2:$B$72),0,1),0),MATCH(Analysis_Medium!D$42,Medium_Complexity!$A$2:$K$2,0))</f>
        <v>5</v>
      </c>
      <c r="E70" cm="1">
        <f t="array" ref="E70">INDEX(Medium_Complexity!$A$2:$K$72,MATCH(1,INDEX((Analysis_Medium!$A70=Medium_Complexity!$A$2:$A$72)*(Analysis_Medium!$B70=Medium_Complexity!$B$2:$B$72),0,1),0),MATCH(Analysis_Medium!E$42,Medium_Complexity!$A$2:$K$2,0))</f>
        <v>5</v>
      </c>
      <c r="F70" cm="1">
        <f t="array" ref="F70">INDEX(Medium_Complexity!$A$2:$K$72,MATCH(1,INDEX((Analysis_Medium!$A70=Medium_Complexity!$A$2:$A$72)*(Analysis_Medium!$B70=Medium_Complexity!$B$2:$B$72),0,1),0),MATCH(Analysis_Medium!F$42,Medium_Complexity!$A$2:$K$2,0))</f>
        <v>3</v>
      </c>
      <c r="G70" cm="1">
        <f t="array" ref="G70">INDEX(Medium_Complexity!$A$2:$K$72,MATCH(1,INDEX((Analysis_Medium!$A70=Medium_Complexity!$A$2:$A$72)*(Analysis_Medium!$B70=Medium_Complexity!$B$2:$B$72),0,1),0),MATCH(Analysis_Medium!G$42,Medium_Complexity!$A$2:$K$2,0))</f>
        <v>3</v>
      </c>
      <c r="H70" cm="1">
        <f t="array" ref="H70">INDEX(Medium_Complexity!$A$2:$K$72,MATCH(1,INDEX((Analysis_Medium!$A70=Medium_Complexity!$A$2:$A$72)*(Analysis_Medium!$B70=Medium_Complexity!$B$2:$B$72),0,1),0),MATCH(Analysis_Medium!H$42,Medium_Complexity!$A$2:$K$2,0))</f>
        <v>5</v>
      </c>
      <c r="I70" cm="1">
        <f t="array" ref="I70">INDEX(Medium_Complexity!$A$2:$K$72,MATCH(1,INDEX((Analysis_Medium!$A70=Medium_Complexity!$A$2:$A$72)*(Analysis_Medium!$B70=Medium_Complexity!$B$2:$B$72),0,1),0),MATCH(Analysis_Medium!I$42,Medium_Complexity!$A$2:$K$2,0))</f>
        <v>1</v>
      </c>
      <c r="J70" cm="1">
        <f t="array" ref="J70">INDEX(Medium_Complexity!$A$2:$K$72,MATCH(1,INDEX((Analysis_Medium!$A70=Medium_Complexity!$A$2:$A$72)*(Analysis_Medium!$B70=Medium_Complexity!$B$2:$B$72),0,1),0),MATCH(Analysis_Medium!J$42,Medium_Complexity!$A$2:$K$2,0))</f>
        <v>3</v>
      </c>
      <c r="K70" cm="1">
        <f t="array" ref="K70">INDEX(Medium_Complexity!$A$2:$M$72,MATCH(1,INDEX((Analysis_Medium!$A70=Medium_Complexity!$A$2:$A$72)*(Analysis_Medium!$B70=Medium_Complexity!$B$2:$B$72),0,1),0),MATCH(Analysis_Medium!K$23,Medium_Complexity!$A$2:$M$2,0))</f>
        <v>20</v>
      </c>
    </row>
    <row r="71" spans="1:11" x14ac:dyDescent="0.25">
      <c r="A71">
        <f t="shared" si="27"/>
        <v>10</v>
      </c>
      <c r="B71" t="s">
        <v>15</v>
      </c>
    </row>
    <row r="72" spans="1:11" x14ac:dyDescent="0.25">
      <c r="A72">
        <f t="shared" si="27"/>
        <v>11</v>
      </c>
      <c r="B72" t="s">
        <v>15</v>
      </c>
    </row>
    <row r="73" spans="1:11" x14ac:dyDescent="0.25">
      <c r="A73">
        <f t="shared" si="27"/>
        <v>12</v>
      </c>
      <c r="B73" t="s">
        <v>15</v>
      </c>
    </row>
    <row r="74" spans="1:11" x14ac:dyDescent="0.25">
      <c r="A74">
        <f t="shared" si="27"/>
        <v>13</v>
      </c>
      <c r="B74" t="s">
        <v>15</v>
      </c>
    </row>
    <row r="75" spans="1:11" x14ac:dyDescent="0.25">
      <c r="A75">
        <f t="shared" si="27"/>
        <v>14</v>
      </c>
      <c r="B75" t="s">
        <v>15</v>
      </c>
    </row>
    <row r="76" spans="1:11" x14ac:dyDescent="0.25">
      <c r="A76" s="2" t="s">
        <v>23</v>
      </c>
      <c r="B76" s="2"/>
      <c r="C76" s="2">
        <f>AVERAGE(C62:C75)</f>
        <v>1.6666666666666667</v>
      </c>
      <c r="D76" s="2">
        <f t="shared" ref="D76:K76" si="28">AVERAGE(D62:D75)</f>
        <v>3.3333333333333335</v>
      </c>
      <c r="E76" s="2">
        <f t="shared" si="28"/>
        <v>2.1111111111111112</v>
      </c>
      <c r="F76" s="2">
        <f t="shared" si="28"/>
        <v>3.1111111111111112</v>
      </c>
      <c r="G76" s="2">
        <f t="shared" si="28"/>
        <v>2.8888888888888888</v>
      </c>
      <c r="H76" s="2">
        <f t="shared" si="28"/>
        <v>4.333333333333333</v>
      </c>
      <c r="I76" s="2">
        <f t="shared" si="28"/>
        <v>1.6666666666666667</v>
      </c>
      <c r="J76" s="2">
        <f t="shared" si="28"/>
        <v>2.7777777777777777</v>
      </c>
      <c r="K76" s="2">
        <f t="shared" si="28"/>
        <v>28.888888888888889</v>
      </c>
    </row>
    <row r="77" spans="1:11" x14ac:dyDescent="0.25">
      <c r="A77" t="s">
        <v>24</v>
      </c>
      <c r="C77">
        <f>MEDIAN(C62:C75)</f>
        <v>2</v>
      </c>
      <c r="D77">
        <f t="shared" ref="D77:K77" si="29">MEDIAN(D62:D75)</f>
        <v>3</v>
      </c>
      <c r="E77">
        <f t="shared" si="29"/>
        <v>2</v>
      </c>
      <c r="F77">
        <f t="shared" si="29"/>
        <v>3</v>
      </c>
      <c r="G77">
        <f t="shared" si="29"/>
        <v>3</v>
      </c>
      <c r="H77">
        <f t="shared" si="29"/>
        <v>5</v>
      </c>
      <c r="I77">
        <f t="shared" si="29"/>
        <v>2</v>
      </c>
      <c r="J77">
        <f t="shared" si="29"/>
        <v>3</v>
      </c>
      <c r="K77">
        <f t="shared" si="29"/>
        <v>25</v>
      </c>
    </row>
    <row r="80" spans="1:11" x14ac:dyDescent="0.25">
      <c r="A80" s="1" t="s">
        <v>22</v>
      </c>
      <c r="B80" s="1" t="s">
        <v>0</v>
      </c>
      <c r="C80" s="1" t="s">
        <v>1</v>
      </c>
      <c r="D80" s="1" t="s">
        <v>37</v>
      </c>
      <c r="E80" s="1" t="s">
        <v>3</v>
      </c>
      <c r="F80" s="1" t="s">
        <v>38</v>
      </c>
      <c r="G80" s="1" t="s">
        <v>5</v>
      </c>
      <c r="H80" s="1" t="s">
        <v>41</v>
      </c>
      <c r="I80" s="1" t="s">
        <v>42</v>
      </c>
      <c r="J80" s="13" t="s">
        <v>39</v>
      </c>
      <c r="K80" s="1" t="s">
        <v>10</v>
      </c>
    </row>
    <row r="81" spans="1:11" x14ac:dyDescent="0.25">
      <c r="A81">
        <v>1</v>
      </c>
      <c r="B81" t="s">
        <v>17</v>
      </c>
      <c r="C81" cm="1">
        <f t="array" ref="C81">INDEX(Medium_Complexity!$A$2:$K$72,MATCH(1,INDEX((Analysis_Medium!$A81=Medium_Complexity!$A$2:$A$72)*(Analysis_Medium!$B81=Medium_Complexity!$B$2:$B$72),0,1),0),MATCH(Analysis_Medium!C$42,Medium_Complexity!$A$2:$K$2,0))</f>
        <v>4</v>
      </c>
      <c r="D81" cm="1">
        <f t="array" ref="D81">INDEX(Medium_Complexity!$A$2:$K$72,MATCH(1,INDEX((Analysis_Medium!$A81=Medium_Complexity!$A$2:$A$72)*(Analysis_Medium!$B81=Medium_Complexity!$B$2:$B$72),0,1),0),MATCH(Analysis_Medium!D$42,Medium_Complexity!$A$2:$K$2,0))</f>
        <v>4</v>
      </c>
      <c r="E81" cm="1">
        <f t="array" ref="E81">INDEX(Medium_Complexity!$A$2:$K$72,MATCH(1,INDEX((Analysis_Medium!$A81=Medium_Complexity!$A$2:$A$72)*(Analysis_Medium!$B81=Medium_Complexity!$B$2:$B$72),0,1),0),MATCH(Analysis_Medium!E$42,Medium_Complexity!$A$2:$K$2,0))</f>
        <v>4</v>
      </c>
      <c r="F81" cm="1">
        <f t="array" ref="F81">INDEX(Medium_Complexity!$A$2:$K$72,MATCH(1,INDEX((Analysis_Medium!$A81=Medium_Complexity!$A$2:$A$72)*(Analysis_Medium!$B81=Medium_Complexity!$B$2:$B$72),0,1),0),MATCH(Analysis_Medium!F$42,Medium_Complexity!$A$2:$K$2,0))</f>
        <v>3</v>
      </c>
      <c r="G81" cm="1">
        <f t="array" ref="G81">INDEX(Medium_Complexity!$A$2:$K$72,MATCH(1,INDEX((Analysis_Medium!$A81=Medium_Complexity!$A$2:$A$72)*(Analysis_Medium!$B81=Medium_Complexity!$B$2:$B$72),0,1),0),MATCH(Analysis_Medium!G$42,Medium_Complexity!$A$2:$K$2,0))</f>
        <v>4</v>
      </c>
      <c r="H81" cm="1">
        <f t="array" ref="H81">INDEX(Medium_Complexity!$A$2:$K$72,MATCH(1,INDEX((Analysis_Medium!$A81=Medium_Complexity!$A$2:$A$72)*(Analysis_Medium!$B81=Medium_Complexity!$B$2:$B$72),0,1),0),MATCH(Analysis_Medium!H$42,Medium_Complexity!$A$2:$K$2,0))</f>
        <v>2</v>
      </c>
      <c r="I81" cm="1">
        <f t="array" ref="I81">INDEX(Medium_Complexity!$A$2:$K$72,MATCH(1,INDEX((Analysis_Medium!$A81=Medium_Complexity!$A$2:$A$72)*(Analysis_Medium!$B81=Medium_Complexity!$B$2:$B$72),0,1),0),MATCH(Analysis_Medium!I$42,Medium_Complexity!$A$2:$K$2,0))</f>
        <v>5</v>
      </c>
      <c r="J81" cm="1">
        <f t="array" ref="J81">INDEX(Medium_Complexity!$A$2:$K$72,MATCH(1,INDEX((Analysis_Medium!$A81=Medium_Complexity!$A$2:$A$72)*(Analysis_Medium!$B81=Medium_Complexity!$B$2:$B$72),0,1),0),MATCH(Analysis_Medium!J$42,Medium_Complexity!$A$2:$K$2,0))</f>
        <v>5</v>
      </c>
      <c r="K81" cm="1">
        <f t="array" ref="K81">INDEX(Medium_Complexity!$A$2:$M$72,MATCH(1,INDEX((Analysis_Medium!$A81=Medium_Complexity!$A$2:$A$72)*(Analysis_Medium!$B81=Medium_Complexity!$B$2:$B$72),0,1),0),MATCH(Analysis_Medium!K$23,Medium_Complexity!$A$2:$M$2,0))</f>
        <v>10</v>
      </c>
    </row>
    <row r="82" spans="1:11" x14ac:dyDescent="0.25">
      <c r="A82">
        <f>A81+1</f>
        <v>2</v>
      </c>
      <c r="B82" t="s">
        <v>17</v>
      </c>
      <c r="C82" cm="1">
        <f t="array" ref="C82">INDEX(Medium_Complexity!$A$2:$K$72,MATCH(1,INDEX((Analysis_Medium!$A82=Medium_Complexity!$A$2:$A$72)*(Analysis_Medium!$B82=Medium_Complexity!$B$2:$B$72),0,1),0),MATCH(Analysis_Medium!C$42,Medium_Complexity!$A$2:$K$2,0))</f>
        <v>2</v>
      </c>
      <c r="D82" cm="1">
        <f t="array" ref="D82">INDEX(Medium_Complexity!$A$2:$K$72,MATCH(1,INDEX((Analysis_Medium!$A82=Medium_Complexity!$A$2:$A$72)*(Analysis_Medium!$B82=Medium_Complexity!$B$2:$B$72),0,1),0),MATCH(Analysis_Medium!D$42,Medium_Complexity!$A$2:$K$2,0))</f>
        <v>2</v>
      </c>
      <c r="E82" cm="1">
        <f t="array" ref="E82">INDEX(Medium_Complexity!$A$2:$K$72,MATCH(1,INDEX((Analysis_Medium!$A82=Medium_Complexity!$A$2:$A$72)*(Analysis_Medium!$B82=Medium_Complexity!$B$2:$B$72),0,1),0),MATCH(Analysis_Medium!E$42,Medium_Complexity!$A$2:$K$2,0))</f>
        <v>1</v>
      </c>
      <c r="F82" cm="1">
        <f t="array" ref="F82">INDEX(Medium_Complexity!$A$2:$K$72,MATCH(1,INDEX((Analysis_Medium!$A82=Medium_Complexity!$A$2:$A$72)*(Analysis_Medium!$B82=Medium_Complexity!$B$2:$B$72),0,1),0),MATCH(Analysis_Medium!F$42,Medium_Complexity!$A$2:$K$2,0))</f>
        <v>2</v>
      </c>
      <c r="G82" cm="1">
        <f t="array" ref="G82">INDEX(Medium_Complexity!$A$2:$K$72,MATCH(1,INDEX((Analysis_Medium!$A82=Medium_Complexity!$A$2:$A$72)*(Analysis_Medium!$B82=Medium_Complexity!$B$2:$B$72),0,1),0),MATCH(Analysis_Medium!G$42,Medium_Complexity!$A$2:$K$2,0))</f>
        <v>2</v>
      </c>
      <c r="H82" cm="1">
        <f t="array" ref="H82">INDEX(Medium_Complexity!$A$2:$K$72,MATCH(1,INDEX((Analysis_Medium!$A82=Medium_Complexity!$A$2:$A$72)*(Analysis_Medium!$B82=Medium_Complexity!$B$2:$B$72),0,1),0),MATCH(Analysis_Medium!H$42,Medium_Complexity!$A$2:$K$2,0))</f>
        <v>4</v>
      </c>
      <c r="I82" cm="1">
        <f t="array" ref="I82">INDEX(Medium_Complexity!$A$2:$K$72,MATCH(1,INDEX((Analysis_Medium!$A82=Medium_Complexity!$A$2:$A$72)*(Analysis_Medium!$B82=Medium_Complexity!$B$2:$B$72),0,1),0),MATCH(Analysis_Medium!I$42,Medium_Complexity!$A$2:$K$2,0))</f>
        <v>3</v>
      </c>
      <c r="J82" cm="1">
        <f t="array" ref="J82">INDEX(Medium_Complexity!$A$2:$K$72,MATCH(1,INDEX((Analysis_Medium!$A82=Medium_Complexity!$A$2:$A$72)*(Analysis_Medium!$B82=Medium_Complexity!$B$2:$B$72),0,1),0),MATCH(Analysis_Medium!J$42,Medium_Complexity!$A$2:$K$2,0))</f>
        <v>2</v>
      </c>
      <c r="K82" cm="1">
        <f t="array" ref="K82">INDEX(Medium_Complexity!$A$2:$M$72,MATCH(1,INDEX((Analysis_Medium!$A82=Medium_Complexity!$A$2:$A$72)*(Analysis_Medium!$B82=Medium_Complexity!$B$2:$B$72),0,1),0),MATCH(Analysis_Medium!K$23,Medium_Complexity!$A$2:$M$2,0))</f>
        <v>10</v>
      </c>
    </row>
    <row r="83" spans="1:11" x14ac:dyDescent="0.25">
      <c r="A83">
        <f t="shared" ref="A83:A94" si="30">A82+1</f>
        <v>3</v>
      </c>
      <c r="B83" t="s">
        <v>17</v>
      </c>
      <c r="C83" cm="1">
        <f t="array" ref="C83">INDEX(Medium_Complexity!$A$2:$K$72,MATCH(1,INDEX((Analysis_Medium!$A83=Medium_Complexity!$A$2:$A$72)*(Analysis_Medium!$B83=Medium_Complexity!$B$2:$B$72),0,1),0),MATCH(Analysis_Medium!C$42,Medium_Complexity!$A$2:$K$2,0))</f>
        <v>3</v>
      </c>
      <c r="D83" cm="1">
        <f t="array" ref="D83">INDEX(Medium_Complexity!$A$2:$K$72,MATCH(1,INDEX((Analysis_Medium!$A83=Medium_Complexity!$A$2:$A$72)*(Analysis_Medium!$B83=Medium_Complexity!$B$2:$B$72),0,1),0),MATCH(Analysis_Medium!D$42,Medium_Complexity!$A$2:$K$2,0))</f>
        <v>2</v>
      </c>
      <c r="E83" cm="1">
        <f t="array" ref="E83">INDEX(Medium_Complexity!$A$2:$K$72,MATCH(1,INDEX((Analysis_Medium!$A83=Medium_Complexity!$A$2:$A$72)*(Analysis_Medium!$B83=Medium_Complexity!$B$2:$B$72),0,1),0),MATCH(Analysis_Medium!E$42,Medium_Complexity!$A$2:$K$2,0))</f>
        <v>3</v>
      </c>
      <c r="F83" cm="1">
        <f t="array" ref="F83">INDEX(Medium_Complexity!$A$2:$K$72,MATCH(1,INDEX((Analysis_Medium!$A83=Medium_Complexity!$A$2:$A$72)*(Analysis_Medium!$B83=Medium_Complexity!$B$2:$B$72),0,1),0),MATCH(Analysis_Medium!F$42,Medium_Complexity!$A$2:$K$2,0))</f>
        <v>4</v>
      </c>
      <c r="G83" cm="1">
        <f t="array" ref="G83">INDEX(Medium_Complexity!$A$2:$K$72,MATCH(1,INDEX((Analysis_Medium!$A83=Medium_Complexity!$A$2:$A$72)*(Analysis_Medium!$B83=Medium_Complexity!$B$2:$B$72),0,1),0),MATCH(Analysis_Medium!G$42,Medium_Complexity!$A$2:$K$2,0))</f>
        <v>3</v>
      </c>
      <c r="H83" cm="1">
        <f t="array" ref="H83">INDEX(Medium_Complexity!$A$2:$K$72,MATCH(1,INDEX((Analysis_Medium!$A83=Medium_Complexity!$A$2:$A$72)*(Analysis_Medium!$B83=Medium_Complexity!$B$2:$B$72),0,1),0),MATCH(Analysis_Medium!H$42,Medium_Complexity!$A$2:$K$2,0))</f>
        <v>4</v>
      </c>
      <c r="I83" cm="1">
        <f t="array" ref="I83">INDEX(Medium_Complexity!$A$2:$K$72,MATCH(1,INDEX((Analysis_Medium!$A83=Medium_Complexity!$A$2:$A$72)*(Analysis_Medium!$B83=Medium_Complexity!$B$2:$B$72),0,1),0),MATCH(Analysis_Medium!I$42,Medium_Complexity!$A$2:$K$2,0))</f>
        <v>3</v>
      </c>
      <c r="J83" cm="1">
        <f t="array" ref="J83">INDEX(Medium_Complexity!$A$2:$K$72,MATCH(1,INDEX((Analysis_Medium!$A83=Medium_Complexity!$A$2:$A$72)*(Analysis_Medium!$B83=Medium_Complexity!$B$2:$B$72),0,1),0),MATCH(Analysis_Medium!J$42,Medium_Complexity!$A$2:$K$2,0))</f>
        <v>3</v>
      </c>
      <c r="K83" cm="1">
        <f t="array" ref="K83">INDEX(Medium_Complexity!$A$2:$M$72,MATCH(1,INDEX((Analysis_Medium!$A83=Medium_Complexity!$A$2:$A$72)*(Analysis_Medium!$B83=Medium_Complexity!$B$2:$B$72),0,1),0),MATCH(Analysis_Medium!K$23,Medium_Complexity!$A$2:$M$2,0))</f>
        <v>20</v>
      </c>
    </row>
    <row r="84" spans="1:11" x14ac:dyDescent="0.25">
      <c r="A84">
        <f t="shared" si="30"/>
        <v>4</v>
      </c>
      <c r="B84" t="s">
        <v>17</v>
      </c>
      <c r="C84" cm="1">
        <f t="array" ref="C84">INDEX(Medium_Complexity!$A$2:$K$72,MATCH(1,INDEX((Analysis_Medium!$A84=Medium_Complexity!$A$2:$A$72)*(Analysis_Medium!$B84=Medium_Complexity!$B$2:$B$72),0,1),0),MATCH(Analysis_Medium!C$42,Medium_Complexity!$A$2:$K$2,0))</f>
        <v>4</v>
      </c>
      <c r="D84" cm="1">
        <f t="array" ref="D84">INDEX(Medium_Complexity!$A$2:$K$72,MATCH(1,INDEX((Analysis_Medium!$A84=Medium_Complexity!$A$2:$A$72)*(Analysis_Medium!$B84=Medium_Complexity!$B$2:$B$72),0,1),0),MATCH(Analysis_Medium!D$42,Medium_Complexity!$A$2:$K$2,0))</f>
        <v>4</v>
      </c>
      <c r="E84" cm="1">
        <f t="array" ref="E84">INDEX(Medium_Complexity!$A$2:$K$72,MATCH(1,INDEX((Analysis_Medium!$A84=Medium_Complexity!$A$2:$A$72)*(Analysis_Medium!$B84=Medium_Complexity!$B$2:$B$72),0,1),0),MATCH(Analysis_Medium!E$42,Medium_Complexity!$A$2:$K$2,0))</f>
        <v>2</v>
      </c>
      <c r="F84" cm="1">
        <f t="array" ref="F84">INDEX(Medium_Complexity!$A$2:$K$72,MATCH(1,INDEX((Analysis_Medium!$A84=Medium_Complexity!$A$2:$A$72)*(Analysis_Medium!$B84=Medium_Complexity!$B$2:$B$72),0,1),0),MATCH(Analysis_Medium!F$42,Medium_Complexity!$A$2:$K$2,0))</f>
        <v>4</v>
      </c>
      <c r="G84" cm="1">
        <f t="array" ref="G84">INDEX(Medium_Complexity!$A$2:$K$72,MATCH(1,INDEX((Analysis_Medium!$A84=Medium_Complexity!$A$2:$A$72)*(Analysis_Medium!$B84=Medium_Complexity!$B$2:$B$72),0,1),0),MATCH(Analysis_Medium!G$42,Medium_Complexity!$A$2:$K$2,0))</f>
        <v>3</v>
      </c>
      <c r="H84" cm="1">
        <f t="array" ref="H84">INDEX(Medium_Complexity!$A$2:$K$72,MATCH(1,INDEX((Analysis_Medium!$A84=Medium_Complexity!$A$2:$A$72)*(Analysis_Medium!$B84=Medium_Complexity!$B$2:$B$72),0,1),0),MATCH(Analysis_Medium!H$42,Medium_Complexity!$A$2:$K$2,0))</f>
        <v>2</v>
      </c>
      <c r="I84" cm="1">
        <f t="array" ref="I84">INDEX(Medium_Complexity!$A$2:$K$72,MATCH(1,INDEX((Analysis_Medium!$A84=Medium_Complexity!$A$2:$A$72)*(Analysis_Medium!$B84=Medium_Complexity!$B$2:$B$72),0,1),0),MATCH(Analysis_Medium!I$42,Medium_Complexity!$A$2:$K$2,0))</f>
        <v>4</v>
      </c>
      <c r="J84" cm="1">
        <f t="array" ref="J84">INDEX(Medium_Complexity!$A$2:$K$72,MATCH(1,INDEX((Analysis_Medium!$A84=Medium_Complexity!$A$2:$A$72)*(Analysis_Medium!$B84=Medium_Complexity!$B$2:$B$72),0,1),0),MATCH(Analysis_Medium!J$42,Medium_Complexity!$A$2:$K$2,0))</f>
        <v>3</v>
      </c>
      <c r="K84" cm="1">
        <f t="array" ref="K84">INDEX(Medium_Complexity!$A$2:$M$72,MATCH(1,INDEX((Analysis_Medium!$A84=Medium_Complexity!$A$2:$A$72)*(Analysis_Medium!$B84=Medium_Complexity!$B$2:$B$72),0,1),0),MATCH(Analysis_Medium!K$23,Medium_Complexity!$A$2:$M$2,0))</f>
        <v>15</v>
      </c>
    </row>
    <row r="85" spans="1:11" x14ac:dyDescent="0.25">
      <c r="A85">
        <f t="shared" si="30"/>
        <v>5</v>
      </c>
      <c r="B85" t="s">
        <v>17</v>
      </c>
      <c r="C85" cm="1">
        <f t="array" ref="C85">INDEX(Medium_Complexity!$A$2:$K$72,MATCH(1,INDEX((Analysis_Medium!$A85=Medium_Complexity!$A$2:$A$72)*(Analysis_Medium!$B85=Medium_Complexity!$B$2:$B$72),0,1),0),MATCH(Analysis_Medium!C$42,Medium_Complexity!$A$2:$K$2,0))</f>
        <v>3</v>
      </c>
      <c r="D85" cm="1">
        <f t="array" ref="D85">INDEX(Medium_Complexity!$A$2:$K$72,MATCH(1,INDEX((Analysis_Medium!$A85=Medium_Complexity!$A$2:$A$72)*(Analysis_Medium!$B85=Medium_Complexity!$B$2:$B$72),0,1),0),MATCH(Analysis_Medium!D$42,Medium_Complexity!$A$2:$K$2,0))</f>
        <v>4</v>
      </c>
      <c r="E85" cm="1">
        <f t="array" ref="E85">INDEX(Medium_Complexity!$A$2:$K$72,MATCH(1,INDEX((Analysis_Medium!$A85=Medium_Complexity!$A$2:$A$72)*(Analysis_Medium!$B85=Medium_Complexity!$B$2:$B$72),0,1),0),MATCH(Analysis_Medium!E$42,Medium_Complexity!$A$2:$K$2,0))</f>
        <v>1</v>
      </c>
      <c r="F85" cm="1">
        <f t="array" ref="F85">INDEX(Medium_Complexity!$A$2:$K$72,MATCH(1,INDEX((Analysis_Medium!$A85=Medium_Complexity!$A$2:$A$72)*(Analysis_Medium!$B85=Medium_Complexity!$B$2:$B$72),0,1),0),MATCH(Analysis_Medium!F$42,Medium_Complexity!$A$2:$K$2,0))</f>
        <v>4</v>
      </c>
      <c r="G85" cm="1">
        <f t="array" ref="G85">INDEX(Medium_Complexity!$A$2:$K$72,MATCH(1,INDEX((Analysis_Medium!$A85=Medium_Complexity!$A$2:$A$72)*(Analysis_Medium!$B85=Medium_Complexity!$B$2:$B$72),0,1),0),MATCH(Analysis_Medium!G$42,Medium_Complexity!$A$2:$K$2,0))</f>
        <v>1</v>
      </c>
      <c r="H85" cm="1">
        <f t="array" ref="H85">INDEX(Medium_Complexity!$A$2:$K$72,MATCH(1,INDEX((Analysis_Medium!$A85=Medium_Complexity!$A$2:$A$72)*(Analysis_Medium!$B85=Medium_Complexity!$B$2:$B$72),0,1),0),MATCH(Analysis_Medium!H$42,Medium_Complexity!$A$2:$K$2,0))</f>
        <v>1</v>
      </c>
      <c r="I85" cm="1">
        <f t="array" ref="I85">INDEX(Medium_Complexity!$A$2:$K$72,MATCH(1,INDEX((Analysis_Medium!$A85=Medium_Complexity!$A$2:$A$72)*(Analysis_Medium!$B85=Medium_Complexity!$B$2:$B$72),0,1),0),MATCH(Analysis_Medium!I$42,Medium_Complexity!$A$2:$K$2,0))</f>
        <v>2</v>
      </c>
      <c r="J85" cm="1">
        <f t="array" ref="J85">INDEX(Medium_Complexity!$A$2:$K$72,MATCH(1,INDEX((Analysis_Medium!$A85=Medium_Complexity!$A$2:$A$72)*(Analysis_Medium!$B85=Medium_Complexity!$B$2:$B$72),0,1),0),MATCH(Analysis_Medium!J$42,Medium_Complexity!$A$2:$K$2,0))</f>
        <v>2</v>
      </c>
      <c r="K85" cm="1">
        <f t="array" ref="K85">INDEX(Medium_Complexity!$A$2:$M$72,MATCH(1,INDEX((Analysis_Medium!$A85=Medium_Complexity!$A$2:$A$72)*(Analysis_Medium!$B85=Medium_Complexity!$B$2:$B$72),0,1),0),MATCH(Analysis_Medium!K$23,Medium_Complexity!$A$2:$M$2,0))</f>
        <v>5</v>
      </c>
    </row>
    <row r="86" spans="1:11" x14ac:dyDescent="0.25">
      <c r="A86">
        <f t="shared" si="30"/>
        <v>6</v>
      </c>
      <c r="B86" t="s">
        <v>17</v>
      </c>
      <c r="C86" cm="1">
        <f t="array" ref="C86">INDEX(Medium_Complexity!$A$2:$K$72,MATCH(1,INDEX((Analysis_Medium!$A86=Medium_Complexity!$A$2:$A$72)*(Analysis_Medium!$B86=Medium_Complexity!$B$2:$B$72),0,1),0),MATCH(Analysis_Medium!C$42,Medium_Complexity!$A$2:$K$2,0))</f>
        <v>4</v>
      </c>
      <c r="D86" cm="1">
        <f t="array" ref="D86">INDEX(Medium_Complexity!$A$2:$K$72,MATCH(1,INDEX((Analysis_Medium!$A86=Medium_Complexity!$A$2:$A$72)*(Analysis_Medium!$B86=Medium_Complexity!$B$2:$B$72),0,1),0),MATCH(Analysis_Medium!D$42,Medium_Complexity!$A$2:$K$2,0))</f>
        <v>3</v>
      </c>
      <c r="E86" cm="1">
        <f t="array" ref="E86">INDEX(Medium_Complexity!$A$2:$K$72,MATCH(1,INDEX((Analysis_Medium!$A86=Medium_Complexity!$A$2:$A$72)*(Analysis_Medium!$B86=Medium_Complexity!$B$2:$B$72),0,1),0),MATCH(Analysis_Medium!E$42,Medium_Complexity!$A$2:$K$2,0))</f>
        <v>2</v>
      </c>
      <c r="F86" cm="1">
        <f t="array" ref="F86">INDEX(Medium_Complexity!$A$2:$K$72,MATCH(1,INDEX((Analysis_Medium!$A86=Medium_Complexity!$A$2:$A$72)*(Analysis_Medium!$B86=Medium_Complexity!$B$2:$B$72),0,1),0),MATCH(Analysis_Medium!F$42,Medium_Complexity!$A$2:$K$2,0))</f>
        <v>3</v>
      </c>
      <c r="G86" cm="1">
        <f t="array" ref="G86">INDEX(Medium_Complexity!$A$2:$K$72,MATCH(1,INDEX((Analysis_Medium!$A86=Medium_Complexity!$A$2:$A$72)*(Analysis_Medium!$B86=Medium_Complexity!$B$2:$B$72),0,1),0),MATCH(Analysis_Medium!G$42,Medium_Complexity!$A$2:$K$2,0))</f>
        <v>2</v>
      </c>
      <c r="H86" cm="1">
        <f t="array" ref="H86">INDEX(Medium_Complexity!$A$2:$K$72,MATCH(1,INDEX((Analysis_Medium!$A86=Medium_Complexity!$A$2:$A$72)*(Analysis_Medium!$B86=Medium_Complexity!$B$2:$B$72),0,1),0),MATCH(Analysis_Medium!H$42,Medium_Complexity!$A$2:$K$2,0))</f>
        <v>1</v>
      </c>
      <c r="I86" cm="1">
        <f t="array" ref="I86">INDEX(Medium_Complexity!$A$2:$K$72,MATCH(1,INDEX((Analysis_Medium!$A86=Medium_Complexity!$A$2:$A$72)*(Analysis_Medium!$B86=Medium_Complexity!$B$2:$B$72),0,1),0),MATCH(Analysis_Medium!I$42,Medium_Complexity!$A$2:$K$2,0))</f>
        <v>4</v>
      </c>
      <c r="J86" cm="1">
        <f t="array" ref="J86">INDEX(Medium_Complexity!$A$2:$K$72,MATCH(1,INDEX((Analysis_Medium!$A86=Medium_Complexity!$A$2:$A$72)*(Analysis_Medium!$B86=Medium_Complexity!$B$2:$B$72),0,1),0),MATCH(Analysis_Medium!J$42,Medium_Complexity!$A$2:$K$2,0))</f>
        <v>3</v>
      </c>
      <c r="K86" cm="1">
        <f t="array" ref="K86">INDEX(Medium_Complexity!$A$2:$M$72,MATCH(1,INDEX((Analysis_Medium!$A86=Medium_Complexity!$A$2:$A$72)*(Analysis_Medium!$B86=Medium_Complexity!$B$2:$B$72),0,1),0),MATCH(Analysis_Medium!K$23,Medium_Complexity!$A$2:$M$2,0))</f>
        <v>10</v>
      </c>
    </row>
    <row r="87" spans="1:11" x14ac:dyDescent="0.25">
      <c r="A87">
        <f t="shared" si="30"/>
        <v>7</v>
      </c>
      <c r="B87" t="s">
        <v>17</v>
      </c>
      <c r="C87" cm="1">
        <f t="array" ref="C87">INDEX(Medium_Complexity!$A$2:$K$72,MATCH(1,INDEX((Analysis_Medium!$A87=Medium_Complexity!$A$2:$A$72)*(Analysis_Medium!$B87=Medium_Complexity!$B$2:$B$72),0,1),0),MATCH(Analysis_Medium!C$42,Medium_Complexity!$A$2:$K$2,0))</f>
        <v>3</v>
      </c>
      <c r="D87" cm="1">
        <f t="array" ref="D87">INDEX(Medium_Complexity!$A$2:$K$72,MATCH(1,INDEX((Analysis_Medium!$A87=Medium_Complexity!$A$2:$A$72)*(Analysis_Medium!$B87=Medium_Complexity!$B$2:$B$72),0,1),0),MATCH(Analysis_Medium!D$42,Medium_Complexity!$A$2:$K$2,0))</f>
        <v>2</v>
      </c>
      <c r="E87" cm="1">
        <f t="array" ref="E87">INDEX(Medium_Complexity!$A$2:$K$72,MATCH(1,INDEX((Analysis_Medium!$A87=Medium_Complexity!$A$2:$A$72)*(Analysis_Medium!$B87=Medium_Complexity!$B$2:$B$72),0,1),0),MATCH(Analysis_Medium!E$42,Medium_Complexity!$A$2:$K$2,0))</f>
        <v>2</v>
      </c>
      <c r="F87" cm="1">
        <f t="array" ref="F87">INDEX(Medium_Complexity!$A$2:$K$72,MATCH(1,INDEX((Analysis_Medium!$A87=Medium_Complexity!$A$2:$A$72)*(Analysis_Medium!$B87=Medium_Complexity!$B$2:$B$72),0,1),0),MATCH(Analysis_Medium!F$42,Medium_Complexity!$A$2:$K$2,0))</f>
        <v>3</v>
      </c>
      <c r="G87" cm="1">
        <f t="array" ref="G87">INDEX(Medium_Complexity!$A$2:$K$72,MATCH(1,INDEX((Analysis_Medium!$A87=Medium_Complexity!$A$2:$A$72)*(Analysis_Medium!$B87=Medium_Complexity!$B$2:$B$72),0,1),0),MATCH(Analysis_Medium!G$42,Medium_Complexity!$A$2:$K$2,0))</f>
        <v>2</v>
      </c>
      <c r="H87" cm="1">
        <f t="array" ref="H87">INDEX(Medium_Complexity!$A$2:$K$72,MATCH(1,INDEX((Analysis_Medium!$A87=Medium_Complexity!$A$2:$A$72)*(Analysis_Medium!$B87=Medium_Complexity!$B$2:$B$72),0,1),0),MATCH(Analysis_Medium!H$42,Medium_Complexity!$A$2:$K$2,0))</f>
        <v>4</v>
      </c>
      <c r="I87" cm="1">
        <f t="array" ref="I87">INDEX(Medium_Complexity!$A$2:$K$72,MATCH(1,INDEX((Analysis_Medium!$A87=Medium_Complexity!$A$2:$A$72)*(Analysis_Medium!$B87=Medium_Complexity!$B$2:$B$72),0,1),0),MATCH(Analysis_Medium!I$42,Medium_Complexity!$A$2:$K$2,0))</f>
        <v>2</v>
      </c>
      <c r="J87" cm="1">
        <f t="array" ref="J87">INDEX(Medium_Complexity!$A$2:$K$72,MATCH(1,INDEX((Analysis_Medium!$A87=Medium_Complexity!$A$2:$A$72)*(Analysis_Medium!$B87=Medium_Complexity!$B$2:$B$72),0,1),0),MATCH(Analysis_Medium!J$42,Medium_Complexity!$A$2:$K$2,0))</f>
        <v>2</v>
      </c>
      <c r="K87" cm="1">
        <f t="array" ref="K87">INDEX(Medium_Complexity!$A$2:$M$72,MATCH(1,INDEX((Analysis_Medium!$A87=Medium_Complexity!$A$2:$A$72)*(Analysis_Medium!$B87=Medium_Complexity!$B$2:$B$72),0,1),0),MATCH(Analysis_Medium!K$23,Medium_Complexity!$A$2:$M$2,0))</f>
        <v>15</v>
      </c>
    </row>
    <row r="88" spans="1:11" x14ac:dyDescent="0.25">
      <c r="A88">
        <f t="shared" si="30"/>
        <v>8</v>
      </c>
      <c r="B88" t="s">
        <v>17</v>
      </c>
      <c r="C88" cm="1">
        <f t="array" ref="C88">INDEX(Medium_Complexity!$A$2:$K$72,MATCH(1,INDEX((Analysis_Medium!$A88=Medium_Complexity!$A$2:$A$72)*(Analysis_Medium!$B88=Medium_Complexity!$B$2:$B$72),0,1),0),MATCH(Analysis_Medium!C$42,Medium_Complexity!$A$2:$K$2,0))</f>
        <v>4</v>
      </c>
      <c r="D88" cm="1">
        <f t="array" ref="D88">INDEX(Medium_Complexity!$A$2:$K$72,MATCH(1,INDEX((Analysis_Medium!$A88=Medium_Complexity!$A$2:$A$72)*(Analysis_Medium!$B88=Medium_Complexity!$B$2:$B$72),0,1),0),MATCH(Analysis_Medium!D$42,Medium_Complexity!$A$2:$K$2,0))</f>
        <v>2</v>
      </c>
      <c r="E88" cm="1">
        <f t="array" ref="E88">INDEX(Medium_Complexity!$A$2:$K$72,MATCH(1,INDEX((Analysis_Medium!$A88=Medium_Complexity!$A$2:$A$72)*(Analysis_Medium!$B88=Medium_Complexity!$B$2:$B$72),0,1),0),MATCH(Analysis_Medium!E$42,Medium_Complexity!$A$2:$K$2,0))</f>
        <v>2</v>
      </c>
      <c r="F88" cm="1">
        <f t="array" ref="F88">INDEX(Medium_Complexity!$A$2:$K$72,MATCH(1,INDEX((Analysis_Medium!$A88=Medium_Complexity!$A$2:$A$72)*(Analysis_Medium!$B88=Medium_Complexity!$B$2:$B$72),0,1),0),MATCH(Analysis_Medium!F$42,Medium_Complexity!$A$2:$K$2,0))</f>
        <v>3</v>
      </c>
      <c r="G88" cm="1">
        <f t="array" ref="G88">INDEX(Medium_Complexity!$A$2:$K$72,MATCH(1,INDEX((Analysis_Medium!$A88=Medium_Complexity!$A$2:$A$72)*(Analysis_Medium!$B88=Medium_Complexity!$B$2:$B$72),0,1),0),MATCH(Analysis_Medium!G$42,Medium_Complexity!$A$2:$K$2,0))</f>
        <v>2</v>
      </c>
      <c r="H88" cm="1">
        <f t="array" ref="H88">INDEX(Medium_Complexity!$A$2:$K$72,MATCH(1,INDEX((Analysis_Medium!$A88=Medium_Complexity!$A$2:$A$72)*(Analysis_Medium!$B88=Medium_Complexity!$B$2:$B$72),0,1),0),MATCH(Analysis_Medium!H$42,Medium_Complexity!$A$2:$K$2,0))</f>
        <v>3</v>
      </c>
      <c r="I88" cm="1">
        <f t="array" ref="I88">INDEX(Medium_Complexity!$A$2:$K$72,MATCH(1,INDEX((Analysis_Medium!$A88=Medium_Complexity!$A$2:$A$72)*(Analysis_Medium!$B88=Medium_Complexity!$B$2:$B$72),0,1),0),MATCH(Analysis_Medium!I$42,Medium_Complexity!$A$2:$K$2,0))</f>
        <v>3</v>
      </c>
      <c r="J88" cm="1">
        <f t="array" ref="J88">INDEX(Medium_Complexity!$A$2:$K$72,MATCH(1,INDEX((Analysis_Medium!$A88=Medium_Complexity!$A$2:$A$72)*(Analysis_Medium!$B88=Medium_Complexity!$B$2:$B$72),0,1),0),MATCH(Analysis_Medium!J$42,Medium_Complexity!$A$2:$K$2,0))</f>
        <v>2</v>
      </c>
      <c r="K88" cm="1">
        <f t="array" ref="K88">INDEX(Medium_Complexity!$A$2:$M$72,MATCH(1,INDEX((Analysis_Medium!$A88=Medium_Complexity!$A$2:$A$72)*(Analysis_Medium!$B88=Medium_Complexity!$B$2:$B$72),0,1),0),MATCH(Analysis_Medium!K$23,Medium_Complexity!$A$2:$M$2,0))</f>
        <v>25</v>
      </c>
    </row>
    <row r="89" spans="1:11" x14ac:dyDescent="0.25">
      <c r="A89">
        <f t="shared" si="30"/>
        <v>9</v>
      </c>
      <c r="B89" t="s">
        <v>17</v>
      </c>
      <c r="C89" cm="1">
        <f t="array" ref="C89">INDEX(Medium_Complexity!$A$2:$K$72,MATCH(1,INDEX((Analysis_Medium!$A89=Medium_Complexity!$A$2:$A$72)*(Analysis_Medium!$B89=Medium_Complexity!$B$2:$B$72),0,1),0),MATCH(Analysis_Medium!C$42,Medium_Complexity!$A$2:$K$2,0))</f>
        <v>3</v>
      </c>
      <c r="D89" cm="1">
        <f t="array" ref="D89">INDEX(Medium_Complexity!$A$2:$K$72,MATCH(1,INDEX((Analysis_Medium!$A89=Medium_Complexity!$A$2:$A$72)*(Analysis_Medium!$B89=Medium_Complexity!$B$2:$B$72),0,1),0),MATCH(Analysis_Medium!D$42,Medium_Complexity!$A$2:$K$2,0))</f>
        <v>1</v>
      </c>
      <c r="E89" cm="1">
        <f t="array" ref="E89">INDEX(Medium_Complexity!$A$2:$K$72,MATCH(1,INDEX((Analysis_Medium!$A89=Medium_Complexity!$A$2:$A$72)*(Analysis_Medium!$B89=Medium_Complexity!$B$2:$B$72),0,1),0),MATCH(Analysis_Medium!E$42,Medium_Complexity!$A$2:$K$2,0))</f>
        <v>1</v>
      </c>
      <c r="F89" cm="1">
        <f t="array" ref="F89">INDEX(Medium_Complexity!$A$2:$K$72,MATCH(1,INDEX((Analysis_Medium!$A89=Medium_Complexity!$A$2:$A$72)*(Analysis_Medium!$B89=Medium_Complexity!$B$2:$B$72),0,1),0),MATCH(Analysis_Medium!F$42,Medium_Complexity!$A$2:$K$2,0))</f>
        <v>1</v>
      </c>
      <c r="G89" cm="1">
        <f t="array" ref="G89">INDEX(Medium_Complexity!$A$2:$K$72,MATCH(1,INDEX((Analysis_Medium!$A89=Medium_Complexity!$A$2:$A$72)*(Analysis_Medium!$B89=Medium_Complexity!$B$2:$B$72),0,1),0),MATCH(Analysis_Medium!G$42,Medium_Complexity!$A$2:$K$2,0))</f>
        <v>1</v>
      </c>
      <c r="H89" cm="1">
        <f t="array" ref="H89">INDEX(Medium_Complexity!$A$2:$K$72,MATCH(1,INDEX((Analysis_Medium!$A89=Medium_Complexity!$A$2:$A$72)*(Analysis_Medium!$B89=Medium_Complexity!$B$2:$B$72),0,1),0),MATCH(Analysis_Medium!H$42,Medium_Complexity!$A$2:$K$2,0))</f>
        <v>4</v>
      </c>
      <c r="I89" cm="1">
        <f t="array" ref="I89">INDEX(Medium_Complexity!$A$2:$K$72,MATCH(1,INDEX((Analysis_Medium!$A89=Medium_Complexity!$A$2:$A$72)*(Analysis_Medium!$B89=Medium_Complexity!$B$2:$B$72),0,1),0),MATCH(Analysis_Medium!I$42,Medium_Complexity!$A$2:$K$2,0))</f>
        <v>3</v>
      </c>
      <c r="J89" cm="1">
        <f t="array" ref="J89">INDEX(Medium_Complexity!$A$2:$K$72,MATCH(1,INDEX((Analysis_Medium!$A89=Medium_Complexity!$A$2:$A$72)*(Analysis_Medium!$B89=Medium_Complexity!$B$2:$B$72),0,1),0),MATCH(Analysis_Medium!J$42,Medium_Complexity!$A$2:$K$2,0))</f>
        <v>1</v>
      </c>
      <c r="K89" cm="1">
        <f t="array" ref="K89">INDEX(Medium_Complexity!$A$2:$M$72,MATCH(1,INDEX((Analysis_Medium!$A89=Medium_Complexity!$A$2:$A$72)*(Analysis_Medium!$B89=Medium_Complexity!$B$2:$B$72),0,1),0),MATCH(Analysis_Medium!K$23,Medium_Complexity!$A$2:$M$2,0))</f>
        <v>25</v>
      </c>
    </row>
    <row r="90" spans="1:11" x14ac:dyDescent="0.25">
      <c r="A90">
        <f t="shared" si="30"/>
        <v>10</v>
      </c>
      <c r="B90" t="s">
        <v>17</v>
      </c>
    </row>
    <row r="91" spans="1:11" x14ac:dyDescent="0.25">
      <c r="A91">
        <f t="shared" si="30"/>
        <v>11</v>
      </c>
      <c r="B91" t="s">
        <v>17</v>
      </c>
    </row>
    <row r="92" spans="1:11" x14ac:dyDescent="0.25">
      <c r="A92">
        <f t="shared" si="30"/>
        <v>12</v>
      </c>
      <c r="B92" t="s">
        <v>17</v>
      </c>
    </row>
    <row r="93" spans="1:11" x14ac:dyDescent="0.25">
      <c r="A93">
        <f t="shared" si="30"/>
        <v>13</v>
      </c>
      <c r="B93" t="s">
        <v>17</v>
      </c>
    </row>
    <row r="94" spans="1:11" x14ac:dyDescent="0.25">
      <c r="A94">
        <f t="shared" si="30"/>
        <v>14</v>
      </c>
      <c r="B94" t="s">
        <v>17</v>
      </c>
    </row>
    <row r="95" spans="1:11" x14ac:dyDescent="0.25">
      <c r="A95" s="2" t="s">
        <v>23</v>
      </c>
      <c r="B95" s="2"/>
      <c r="C95" s="2">
        <f>AVERAGE(C81:C94)</f>
        <v>3.3333333333333335</v>
      </c>
      <c r="D95" s="2">
        <f t="shared" ref="D95:K95" si="31">AVERAGE(D81:D94)</f>
        <v>2.6666666666666665</v>
      </c>
      <c r="E95" s="2">
        <f t="shared" si="31"/>
        <v>2</v>
      </c>
      <c r="F95" s="2">
        <f t="shared" si="31"/>
        <v>3</v>
      </c>
      <c r="G95" s="2">
        <f t="shared" si="31"/>
        <v>2.2222222222222223</v>
      </c>
      <c r="H95" s="2">
        <f t="shared" si="31"/>
        <v>2.7777777777777777</v>
      </c>
      <c r="I95" s="2">
        <f t="shared" si="31"/>
        <v>3.2222222222222223</v>
      </c>
      <c r="J95" s="2">
        <f t="shared" si="31"/>
        <v>2.5555555555555554</v>
      </c>
      <c r="K95" s="2">
        <f t="shared" si="31"/>
        <v>15</v>
      </c>
    </row>
    <row r="96" spans="1:11" x14ac:dyDescent="0.25">
      <c r="A96" t="s">
        <v>24</v>
      </c>
      <c r="C96">
        <f>MEDIAN(C81:C94)</f>
        <v>3</v>
      </c>
      <c r="D96">
        <f t="shared" ref="D96:K96" si="32">MEDIAN(D81:D94)</f>
        <v>2</v>
      </c>
      <c r="E96">
        <f t="shared" si="32"/>
        <v>2</v>
      </c>
      <c r="F96">
        <f t="shared" si="32"/>
        <v>3</v>
      </c>
      <c r="G96">
        <f t="shared" si="32"/>
        <v>2</v>
      </c>
      <c r="H96">
        <f t="shared" si="32"/>
        <v>3</v>
      </c>
      <c r="I96">
        <f t="shared" si="32"/>
        <v>3</v>
      </c>
      <c r="J96">
        <f t="shared" si="32"/>
        <v>2</v>
      </c>
      <c r="K96">
        <f t="shared" si="32"/>
        <v>15</v>
      </c>
    </row>
    <row r="99" spans="1:11" x14ac:dyDescent="0.25">
      <c r="A99" s="1" t="s">
        <v>22</v>
      </c>
      <c r="B99" s="1" t="s">
        <v>0</v>
      </c>
      <c r="C99" s="1" t="s">
        <v>1</v>
      </c>
      <c r="D99" s="1" t="s">
        <v>37</v>
      </c>
      <c r="E99" s="1" t="s">
        <v>3</v>
      </c>
      <c r="F99" s="1" t="s">
        <v>38</v>
      </c>
      <c r="G99" s="1" t="s">
        <v>5</v>
      </c>
      <c r="H99" s="1" t="s">
        <v>41</v>
      </c>
      <c r="I99" s="1" t="s">
        <v>42</v>
      </c>
      <c r="J99" s="13" t="s">
        <v>39</v>
      </c>
      <c r="K99" s="1" t="s">
        <v>10</v>
      </c>
    </row>
    <row r="100" spans="1:11" x14ac:dyDescent="0.25">
      <c r="A100">
        <v>1</v>
      </c>
      <c r="B100" t="s">
        <v>21</v>
      </c>
      <c r="C100" cm="1">
        <f t="array" ref="C100">INDEX(Medium_Complexity!$A$2:$K$72,MATCH(1,INDEX((Analysis_Medium!$A100=Medium_Complexity!$A$2:$A$72)*(Analysis_Medium!$B100=Medium_Complexity!$B$2:$B$72),0,1),0),MATCH(Analysis_Medium!C$42,Medium_Complexity!$A$2:$K$2,0))</f>
        <v>4</v>
      </c>
      <c r="D100" cm="1">
        <f t="array" ref="D100">INDEX(Medium_Complexity!$A$2:$K$72,MATCH(1,INDEX((Analysis_Medium!$A100=Medium_Complexity!$A$2:$A$72)*(Analysis_Medium!$B100=Medium_Complexity!$B$2:$B$72),0,1),0),MATCH(Analysis_Medium!D$42,Medium_Complexity!$A$2:$K$2,0))</f>
        <v>4</v>
      </c>
      <c r="E100" cm="1">
        <f t="array" ref="E100">INDEX(Medium_Complexity!$A$2:$K$72,MATCH(1,INDEX((Analysis_Medium!$A100=Medium_Complexity!$A$2:$A$72)*(Analysis_Medium!$B100=Medium_Complexity!$B$2:$B$72),0,1),0),MATCH(Analysis_Medium!E$42,Medium_Complexity!$A$2:$K$2,0))</f>
        <v>5</v>
      </c>
      <c r="F100" cm="1">
        <f t="array" ref="F100">INDEX(Medium_Complexity!$A$2:$K$72,MATCH(1,INDEX((Analysis_Medium!$A100=Medium_Complexity!$A$2:$A$72)*(Analysis_Medium!$B100=Medium_Complexity!$B$2:$B$72),0,1),0),MATCH(Analysis_Medium!F$42,Medium_Complexity!$A$2:$K$2,0))</f>
        <v>4</v>
      </c>
      <c r="G100" cm="1">
        <f t="array" ref="G100">INDEX(Medium_Complexity!$A$2:$K$72,MATCH(1,INDEX((Analysis_Medium!$A100=Medium_Complexity!$A$2:$A$72)*(Analysis_Medium!$B100=Medium_Complexity!$B$2:$B$72),0,1),0),MATCH(Analysis_Medium!G$42,Medium_Complexity!$A$2:$K$2,0))</f>
        <v>3</v>
      </c>
      <c r="H100" cm="1">
        <f t="array" ref="H100">INDEX(Medium_Complexity!$A$2:$K$72,MATCH(1,INDEX((Analysis_Medium!$A100=Medium_Complexity!$A$2:$A$72)*(Analysis_Medium!$B100=Medium_Complexity!$B$2:$B$72),0,1),0),MATCH(Analysis_Medium!H$42,Medium_Complexity!$A$2:$K$2,0))</f>
        <v>5</v>
      </c>
      <c r="I100" cm="1">
        <f t="array" ref="I100">INDEX(Medium_Complexity!$A$2:$K$72,MATCH(1,INDEX((Analysis_Medium!$A100=Medium_Complexity!$A$2:$A$72)*(Analysis_Medium!$B100=Medium_Complexity!$B$2:$B$72),0,1),0),MATCH(Analysis_Medium!I$42,Medium_Complexity!$A$2:$K$2,0))</f>
        <v>2</v>
      </c>
      <c r="J100" cm="1">
        <f t="array" ref="J100">INDEX(Medium_Complexity!$A$2:$K$72,MATCH(1,INDEX((Analysis_Medium!$A100=Medium_Complexity!$A$2:$A$72)*(Analysis_Medium!$B100=Medium_Complexity!$B$2:$B$72),0,1),0),MATCH(Analysis_Medium!J$42,Medium_Complexity!$A$2:$K$2,0))</f>
        <v>3</v>
      </c>
      <c r="K100" cm="1">
        <f t="array" ref="K100">INDEX(Medium_Complexity!$A$2:$M$72,MATCH(1,INDEX((Analysis_Medium!$A100=Medium_Complexity!$A$2:$A$72)*(Analysis_Medium!$B100=Medium_Complexity!$B$2:$B$72),0,1),0),MATCH(Analysis_Medium!K$23,Medium_Complexity!$A$2:$M$2,0))</f>
        <v>30</v>
      </c>
    </row>
    <row r="101" spans="1:11" x14ac:dyDescent="0.25">
      <c r="A101">
        <f>A100+1</f>
        <v>2</v>
      </c>
      <c r="B101" t="s">
        <v>21</v>
      </c>
      <c r="C101" cm="1">
        <f t="array" ref="C101">INDEX(Medium_Complexity!$A$2:$K$72,MATCH(1,INDEX((Analysis_Medium!$A101=Medium_Complexity!$A$2:$A$72)*(Analysis_Medium!$B101=Medium_Complexity!$B$2:$B$72),0,1),0),MATCH(Analysis_Medium!C$42,Medium_Complexity!$A$2:$K$2,0))</f>
        <v>2</v>
      </c>
      <c r="D101" cm="1">
        <f t="array" ref="D101">INDEX(Medium_Complexity!$A$2:$K$72,MATCH(1,INDEX((Analysis_Medium!$A101=Medium_Complexity!$A$2:$A$72)*(Analysis_Medium!$B101=Medium_Complexity!$B$2:$B$72),0,1),0),MATCH(Analysis_Medium!D$42,Medium_Complexity!$A$2:$K$2,0))</f>
        <v>2</v>
      </c>
      <c r="E101" cm="1">
        <f t="array" ref="E101">INDEX(Medium_Complexity!$A$2:$K$72,MATCH(1,INDEX((Analysis_Medium!$A101=Medium_Complexity!$A$2:$A$72)*(Analysis_Medium!$B101=Medium_Complexity!$B$2:$B$72),0,1),0),MATCH(Analysis_Medium!E$42,Medium_Complexity!$A$2:$K$2,0))</f>
        <v>3</v>
      </c>
      <c r="F101" cm="1">
        <f t="array" ref="F101">INDEX(Medium_Complexity!$A$2:$K$72,MATCH(1,INDEX((Analysis_Medium!$A101=Medium_Complexity!$A$2:$A$72)*(Analysis_Medium!$B101=Medium_Complexity!$B$2:$B$72),0,1),0),MATCH(Analysis_Medium!F$42,Medium_Complexity!$A$2:$K$2,0))</f>
        <v>3</v>
      </c>
      <c r="G101" cm="1">
        <f t="array" ref="G101">INDEX(Medium_Complexity!$A$2:$K$72,MATCH(1,INDEX((Analysis_Medium!$A101=Medium_Complexity!$A$2:$A$72)*(Analysis_Medium!$B101=Medium_Complexity!$B$2:$B$72),0,1),0),MATCH(Analysis_Medium!G$42,Medium_Complexity!$A$2:$K$2,0))</f>
        <v>2</v>
      </c>
      <c r="H101" cm="1">
        <f t="array" ref="H101">INDEX(Medium_Complexity!$A$2:$K$72,MATCH(1,INDEX((Analysis_Medium!$A101=Medium_Complexity!$A$2:$A$72)*(Analysis_Medium!$B101=Medium_Complexity!$B$2:$B$72),0,1),0),MATCH(Analysis_Medium!H$42,Medium_Complexity!$A$2:$K$2,0))</f>
        <v>3</v>
      </c>
      <c r="I101" cm="1">
        <f t="array" ref="I101">INDEX(Medium_Complexity!$A$2:$K$72,MATCH(1,INDEX((Analysis_Medium!$A101=Medium_Complexity!$A$2:$A$72)*(Analysis_Medium!$B101=Medium_Complexity!$B$2:$B$72),0,1),0),MATCH(Analysis_Medium!I$42,Medium_Complexity!$A$2:$K$2,0))</f>
        <v>3</v>
      </c>
      <c r="J101" cm="1">
        <f t="array" ref="J101">INDEX(Medium_Complexity!$A$2:$K$72,MATCH(1,INDEX((Analysis_Medium!$A101=Medium_Complexity!$A$2:$A$72)*(Analysis_Medium!$B101=Medium_Complexity!$B$2:$B$72),0,1),0),MATCH(Analysis_Medium!J$42,Medium_Complexity!$A$2:$K$2,0))</f>
        <v>3</v>
      </c>
      <c r="K101" cm="1">
        <f t="array" ref="K101">INDEX(Medium_Complexity!$A$2:$M$72,MATCH(1,INDEX((Analysis_Medium!$A101=Medium_Complexity!$A$2:$A$72)*(Analysis_Medium!$B101=Medium_Complexity!$B$2:$B$72),0,1),0),MATCH(Analysis_Medium!K$23,Medium_Complexity!$A$2:$M$2,0))</f>
        <v>10</v>
      </c>
    </row>
    <row r="102" spans="1:11" x14ac:dyDescent="0.25">
      <c r="A102">
        <f t="shared" ref="A102:A113" si="33">A101+1</f>
        <v>3</v>
      </c>
      <c r="B102" t="s">
        <v>21</v>
      </c>
      <c r="C102" cm="1">
        <f t="array" ref="C102">INDEX(Medium_Complexity!$A$2:$K$72,MATCH(1,INDEX((Analysis_Medium!$A102=Medium_Complexity!$A$2:$A$72)*(Analysis_Medium!$B102=Medium_Complexity!$B$2:$B$72),0,1),0),MATCH(Analysis_Medium!C$42,Medium_Complexity!$A$2:$K$2,0))</f>
        <v>1</v>
      </c>
      <c r="D102" cm="1">
        <f t="array" ref="D102">INDEX(Medium_Complexity!$A$2:$K$72,MATCH(1,INDEX((Analysis_Medium!$A102=Medium_Complexity!$A$2:$A$72)*(Analysis_Medium!$B102=Medium_Complexity!$B$2:$B$72),0,1),0),MATCH(Analysis_Medium!D$42,Medium_Complexity!$A$2:$K$2,0))</f>
        <v>2</v>
      </c>
      <c r="E102" cm="1">
        <f t="array" ref="E102">INDEX(Medium_Complexity!$A$2:$K$72,MATCH(1,INDEX((Analysis_Medium!$A102=Medium_Complexity!$A$2:$A$72)*(Analysis_Medium!$B102=Medium_Complexity!$B$2:$B$72),0,1),0),MATCH(Analysis_Medium!E$42,Medium_Complexity!$A$2:$K$2,0))</f>
        <v>2</v>
      </c>
      <c r="F102" cm="1">
        <f t="array" ref="F102">INDEX(Medium_Complexity!$A$2:$K$72,MATCH(1,INDEX((Analysis_Medium!$A102=Medium_Complexity!$A$2:$A$72)*(Analysis_Medium!$B102=Medium_Complexity!$B$2:$B$72),0,1),0),MATCH(Analysis_Medium!F$42,Medium_Complexity!$A$2:$K$2,0))</f>
        <v>2</v>
      </c>
      <c r="G102" cm="1">
        <f t="array" ref="G102">INDEX(Medium_Complexity!$A$2:$K$72,MATCH(1,INDEX((Analysis_Medium!$A102=Medium_Complexity!$A$2:$A$72)*(Analysis_Medium!$B102=Medium_Complexity!$B$2:$B$72),0,1),0),MATCH(Analysis_Medium!G$42,Medium_Complexity!$A$2:$K$2,0))</f>
        <v>3</v>
      </c>
      <c r="H102" cm="1">
        <f t="array" ref="H102">INDEX(Medium_Complexity!$A$2:$K$72,MATCH(1,INDEX((Analysis_Medium!$A102=Medium_Complexity!$A$2:$A$72)*(Analysis_Medium!$B102=Medium_Complexity!$B$2:$B$72),0,1),0),MATCH(Analysis_Medium!H$42,Medium_Complexity!$A$2:$K$2,0))</f>
        <v>4</v>
      </c>
      <c r="I102" cm="1">
        <f t="array" ref="I102">INDEX(Medium_Complexity!$A$2:$K$72,MATCH(1,INDEX((Analysis_Medium!$A102=Medium_Complexity!$A$2:$A$72)*(Analysis_Medium!$B102=Medium_Complexity!$B$2:$B$72),0,1),0),MATCH(Analysis_Medium!I$42,Medium_Complexity!$A$2:$K$2,0))</f>
        <v>2</v>
      </c>
      <c r="J102" cm="1">
        <f t="array" ref="J102">INDEX(Medium_Complexity!$A$2:$K$72,MATCH(1,INDEX((Analysis_Medium!$A102=Medium_Complexity!$A$2:$A$72)*(Analysis_Medium!$B102=Medium_Complexity!$B$2:$B$72),0,1),0),MATCH(Analysis_Medium!J$42,Medium_Complexity!$A$2:$K$2,0))</f>
        <v>3</v>
      </c>
      <c r="K102" cm="1">
        <f t="array" ref="K102">INDEX(Medium_Complexity!$A$2:$M$72,MATCH(1,INDEX((Analysis_Medium!$A102=Medium_Complexity!$A$2:$A$72)*(Analysis_Medium!$B102=Medium_Complexity!$B$2:$B$72),0,1),0),MATCH(Analysis_Medium!K$23,Medium_Complexity!$A$2:$M$2,0))</f>
        <v>35</v>
      </c>
    </row>
    <row r="103" spans="1:11" x14ac:dyDescent="0.25">
      <c r="A103">
        <f t="shared" si="33"/>
        <v>4</v>
      </c>
      <c r="B103" t="s">
        <v>21</v>
      </c>
      <c r="C103" cm="1">
        <f t="array" ref="C103">INDEX(Medium_Complexity!$A$2:$K$72,MATCH(1,INDEX((Analysis_Medium!$A103=Medium_Complexity!$A$2:$A$72)*(Analysis_Medium!$B103=Medium_Complexity!$B$2:$B$72),0,1),0),MATCH(Analysis_Medium!C$42,Medium_Complexity!$A$2:$K$2,0))</f>
        <v>4</v>
      </c>
      <c r="D103" cm="1">
        <f t="array" ref="D103">INDEX(Medium_Complexity!$A$2:$K$72,MATCH(1,INDEX((Analysis_Medium!$A103=Medium_Complexity!$A$2:$A$72)*(Analysis_Medium!$B103=Medium_Complexity!$B$2:$B$72),0,1),0),MATCH(Analysis_Medium!D$42,Medium_Complexity!$A$2:$K$2,0))</f>
        <v>4</v>
      </c>
      <c r="E103" cm="1">
        <f t="array" ref="E103">INDEX(Medium_Complexity!$A$2:$K$72,MATCH(1,INDEX((Analysis_Medium!$A103=Medium_Complexity!$A$2:$A$72)*(Analysis_Medium!$B103=Medium_Complexity!$B$2:$B$72),0,1),0),MATCH(Analysis_Medium!E$42,Medium_Complexity!$A$2:$K$2,0))</f>
        <v>3</v>
      </c>
      <c r="F103" cm="1">
        <f t="array" ref="F103">INDEX(Medium_Complexity!$A$2:$K$72,MATCH(1,INDEX((Analysis_Medium!$A103=Medium_Complexity!$A$2:$A$72)*(Analysis_Medium!$B103=Medium_Complexity!$B$2:$B$72),0,1),0),MATCH(Analysis_Medium!F$42,Medium_Complexity!$A$2:$K$2,0))</f>
        <v>4</v>
      </c>
      <c r="G103" cm="1">
        <f t="array" ref="G103">INDEX(Medium_Complexity!$A$2:$K$72,MATCH(1,INDEX((Analysis_Medium!$A103=Medium_Complexity!$A$2:$A$72)*(Analysis_Medium!$B103=Medium_Complexity!$B$2:$B$72),0,1),0),MATCH(Analysis_Medium!G$42,Medium_Complexity!$A$2:$K$2,0))</f>
        <v>3</v>
      </c>
      <c r="H103" cm="1">
        <f t="array" ref="H103">INDEX(Medium_Complexity!$A$2:$K$72,MATCH(1,INDEX((Analysis_Medium!$A103=Medium_Complexity!$A$2:$A$72)*(Analysis_Medium!$B103=Medium_Complexity!$B$2:$B$72),0,1),0),MATCH(Analysis_Medium!H$42,Medium_Complexity!$A$2:$K$2,0))</f>
        <v>4</v>
      </c>
      <c r="I103" cm="1">
        <f t="array" ref="I103">INDEX(Medium_Complexity!$A$2:$K$72,MATCH(1,INDEX((Analysis_Medium!$A103=Medium_Complexity!$A$2:$A$72)*(Analysis_Medium!$B103=Medium_Complexity!$B$2:$B$72),0,1),0),MATCH(Analysis_Medium!I$42,Medium_Complexity!$A$2:$K$2,0))</f>
        <v>4</v>
      </c>
      <c r="J103" cm="1">
        <f t="array" ref="J103">INDEX(Medium_Complexity!$A$2:$K$72,MATCH(1,INDEX((Analysis_Medium!$A103=Medium_Complexity!$A$2:$A$72)*(Analysis_Medium!$B103=Medium_Complexity!$B$2:$B$72),0,1),0),MATCH(Analysis_Medium!J$42,Medium_Complexity!$A$2:$K$2,0))</f>
        <v>4</v>
      </c>
      <c r="K103" cm="1">
        <f t="array" ref="K103">INDEX(Medium_Complexity!$A$2:$M$72,MATCH(1,INDEX((Analysis_Medium!$A103=Medium_Complexity!$A$2:$A$72)*(Analysis_Medium!$B103=Medium_Complexity!$B$2:$B$72),0,1),0),MATCH(Analysis_Medium!K$23,Medium_Complexity!$A$2:$M$2,0))</f>
        <v>10</v>
      </c>
    </row>
    <row r="104" spans="1:11" x14ac:dyDescent="0.25">
      <c r="A104">
        <f t="shared" si="33"/>
        <v>5</v>
      </c>
      <c r="B104" t="s">
        <v>21</v>
      </c>
      <c r="C104" cm="1">
        <f t="array" ref="C104">INDEX(Medium_Complexity!$A$2:$K$72,MATCH(1,INDEX((Analysis_Medium!$A104=Medium_Complexity!$A$2:$A$72)*(Analysis_Medium!$B104=Medium_Complexity!$B$2:$B$72),0,1),0),MATCH(Analysis_Medium!C$42,Medium_Complexity!$A$2:$K$2,0))</f>
        <v>1</v>
      </c>
      <c r="D104" cm="1">
        <f t="array" ref="D104">INDEX(Medium_Complexity!$A$2:$K$72,MATCH(1,INDEX((Analysis_Medium!$A104=Medium_Complexity!$A$2:$A$72)*(Analysis_Medium!$B104=Medium_Complexity!$B$2:$B$72),0,1),0),MATCH(Analysis_Medium!D$42,Medium_Complexity!$A$2:$K$2,0))</f>
        <v>2</v>
      </c>
      <c r="E104" cm="1">
        <f t="array" ref="E104">INDEX(Medium_Complexity!$A$2:$K$72,MATCH(1,INDEX((Analysis_Medium!$A104=Medium_Complexity!$A$2:$A$72)*(Analysis_Medium!$B104=Medium_Complexity!$B$2:$B$72),0,1),0),MATCH(Analysis_Medium!E$42,Medium_Complexity!$A$2:$K$2,0))</f>
        <v>1</v>
      </c>
      <c r="F104" cm="1">
        <f t="array" ref="F104">INDEX(Medium_Complexity!$A$2:$K$72,MATCH(1,INDEX((Analysis_Medium!$A104=Medium_Complexity!$A$2:$A$72)*(Analysis_Medium!$B104=Medium_Complexity!$B$2:$B$72),0,1),0),MATCH(Analysis_Medium!F$42,Medium_Complexity!$A$2:$K$2,0))</f>
        <v>2</v>
      </c>
      <c r="G104" cm="1">
        <f t="array" ref="G104">INDEX(Medium_Complexity!$A$2:$K$72,MATCH(1,INDEX((Analysis_Medium!$A104=Medium_Complexity!$A$2:$A$72)*(Analysis_Medium!$B104=Medium_Complexity!$B$2:$B$72),0,1),0),MATCH(Analysis_Medium!G$42,Medium_Complexity!$A$2:$K$2,0))</f>
        <v>1</v>
      </c>
      <c r="H104" cm="1">
        <f t="array" ref="H104">INDEX(Medium_Complexity!$A$2:$K$72,MATCH(1,INDEX((Analysis_Medium!$A104=Medium_Complexity!$A$2:$A$72)*(Analysis_Medium!$B104=Medium_Complexity!$B$2:$B$72),0,1),0),MATCH(Analysis_Medium!H$42,Medium_Complexity!$A$2:$K$2,0))</f>
        <v>1</v>
      </c>
      <c r="I104" cm="1">
        <f t="array" ref="I104">INDEX(Medium_Complexity!$A$2:$K$72,MATCH(1,INDEX((Analysis_Medium!$A104=Medium_Complexity!$A$2:$A$72)*(Analysis_Medium!$B104=Medium_Complexity!$B$2:$B$72),0,1),0),MATCH(Analysis_Medium!I$42,Medium_Complexity!$A$2:$K$2,0))</f>
        <v>1</v>
      </c>
      <c r="J104" cm="1">
        <f t="array" ref="J104">INDEX(Medium_Complexity!$A$2:$K$72,MATCH(1,INDEX((Analysis_Medium!$A104=Medium_Complexity!$A$2:$A$72)*(Analysis_Medium!$B104=Medium_Complexity!$B$2:$B$72),0,1),0),MATCH(Analysis_Medium!J$42,Medium_Complexity!$A$2:$K$2,0))</f>
        <v>1</v>
      </c>
      <c r="K104" cm="1">
        <f t="array" ref="K104">INDEX(Medium_Complexity!$A$2:$M$72,MATCH(1,INDEX((Analysis_Medium!$A104=Medium_Complexity!$A$2:$A$72)*(Analysis_Medium!$B104=Medium_Complexity!$B$2:$B$72),0,1),0),MATCH(Analysis_Medium!K$23,Medium_Complexity!$A$2:$M$2,0))</f>
        <v>5</v>
      </c>
    </row>
    <row r="105" spans="1:11" x14ac:dyDescent="0.25">
      <c r="A105">
        <f t="shared" si="33"/>
        <v>6</v>
      </c>
      <c r="B105" t="s">
        <v>21</v>
      </c>
      <c r="C105" cm="1">
        <f t="array" ref="C105">INDEX(Medium_Complexity!$A$2:$K$72,MATCH(1,INDEX((Analysis_Medium!$A105=Medium_Complexity!$A$2:$A$72)*(Analysis_Medium!$B105=Medium_Complexity!$B$2:$B$72),0,1),0),MATCH(Analysis_Medium!C$42,Medium_Complexity!$A$2:$K$2,0))</f>
        <v>5</v>
      </c>
      <c r="D105" cm="1">
        <f t="array" ref="D105">INDEX(Medium_Complexity!$A$2:$K$72,MATCH(1,INDEX((Analysis_Medium!$A105=Medium_Complexity!$A$2:$A$72)*(Analysis_Medium!$B105=Medium_Complexity!$B$2:$B$72),0,1),0),MATCH(Analysis_Medium!D$42,Medium_Complexity!$A$2:$K$2,0))</f>
        <v>5</v>
      </c>
      <c r="E105" cm="1">
        <f t="array" ref="E105">INDEX(Medium_Complexity!$A$2:$K$72,MATCH(1,INDEX((Analysis_Medium!$A105=Medium_Complexity!$A$2:$A$72)*(Analysis_Medium!$B105=Medium_Complexity!$B$2:$B$72),0,1),0),MATCH(Analysis_Medium!E$42,Medium_Complexity!$A$2:$K$2,0))</f>
        <v>2</v>
      </c>
      <c r="F105" cm="1">
        <f t="array" ref="F105">INDEX(Medium_Complexity!$A$2:$K$72,MATCH(1,INDEX((Analysis_Medium!$A105=Medium_Complexity!$A$2:$A$72)*(Analysis_Medium!$B105=Medium_Complexity!$B$2:$B$72),0,1),0),MATCH(Analysis_Medium!F$42,Medium_Complexity!$A$2:$K$2,0))</f>
        <v>4</v>
      </c>
      <c r="G105" cm="1">
        <f t="array" ref="G105">INDEX(Medium_Complexity!$A$2:$K$72,MATCH(1,INDEX((Analysis_Medium!$A105=Medium_Complexity!$A$2:$A$72)*(Analysis_Medium!$B105=Medium_Complexity!$B$2:$B$72),0,1),0),MATCH(Analysis_Medium!G$42,Medium_Complexity!$A$2:$K$2,0))</f>
        <v>4</v>
      </c>
      <c r="H105" cm="1">
        <f t="array" ref="H105">INDEX(Medium_Complexity!$A$2:$K$72,MATCH(1,INDEX((Analysis_Medium!$A105=Medium_Complexity!$A$2:$A$72)*(Analysis_Medium!$B105=Medium_Complexity!$B$2:$B$72),0,1),0),MATCH(Analysis_Medium!H$42,Medium_Complexity!$A$2:$K$2,0))</f>
        <v>5</v>
      </c>
      <c r="I105" cm="1">
        <f t="array" ref="I105">INDEX(Medium_Complexity!$A$2:$K$72,MATCH(1,INDEX((Analysis_Medium!$A105=Medium_Complexity!$A$2:$A$72)*(Analysis_Medium!$B105=Medium_Complexity!$B$2:$B$72),0,1),0),MATCH(Analysis_Medium!I$42,Medium_Complexity!$A$2:$K$2,0))</f>
        <v>5</v>
      </c>
      <c r="J105" cm="1">
        <f t="array" ref="J105">INDEX(Medium_Complexity!$A$2:$K$72,MATCH(1,INDEX((Analysis_Medium!$A105=Medium_Complexity!$A$2:$A$72)*(Analysis_Medium!$B105=Medium_Complexity!$B$2:$B$72),0,1),0),MATCH(Analysis_Medium!J$42,Medium_Complexity!$A$2:$K$2,0))</f>
        <v>4</v>
      </c>
      <c r="K105" cm="1">
        <f t="array" ref="K105">INDEX(Medium_Complexity!$A$2:$M$72,MATCH(1,INDEX((Analysis_Medium!$A105=Medium_Complexity!$A$2:$A$72)*(Analysis_Medium!$B105=Medium_Complexity!$B$2:$B$72),0,1),0),MATCH(Analysis_Medium!K$23,Medium_Complexity!$A$2:$M$2,0))</f>
        <v>20</v>
      </c>
    </row>
    <row r="106" spans="1:11" x14ac:dyDescent="0.25">
      <c r="A106">
        <f t="shared" si="33"/>
        <v>7</v>
      </c>
      <c r="B106" t="s">
        <v>21</v>
      </c>
      <c r="C106" cm="1">
        <f t="array" ref="C106">INDEX(Medium_Complexity!$A$2:$K$72,MATCH(1,INDEX((Analysis_Medium!$A106=Medium_Complexity!$A$2:$A$72)*(Analysis_Medium!$B106=Medium_Complexity!$B$2:$B$72),0,1),0),MATCH(Analysis_Medium!C$42,Medium_Complexity!$A$2:$K$2,0))</f>
        <v>1</v>
      </c>
      <c r="D106" cm="1">
        <f t="array" ref="D106">INDEX(Medium_Complexity!$A$2:$K$72,MATCH(1,INDEX((Analysis_Medium!$A106=Medium_Complexity!$A$2:$A$72)*(Analysis_Medium!$B106=Medium_Complexity!$B$2:$B$72),0,1),0),MATCH(Analysis_Medium!D$42,Medium_Complexity!$A$2:$K$2,0))</f>
        <v>3</v>
      </c>
      <c r="E106" cm="1">
        <f t="array" ref="E106">INDEX(Medium_Complexity!$A$2:$K$72,MATCH(1,INDEX((Analysis_Medium!$A106=Medium_Complexity!$A$2:$A$72)*(Analysis_Medium!$B106=Medium_Complexity!$B$2:$B$72),0,1),0),MATCH(Analysis_Medium!E$42,Medium_Complexity!$A$2:$K$2,0))</f>
        <v>4</v>
      </c>
      <c r="F106" cm="1">
        <f t="array" ref="F106">INDEX(Medium_Complexity!$A$2:$K$72,MATCH(1,INDEX((Analysis_Medium!$A106=Medium_Complexity!$A$2:$A$72)*(Analysis_Medium!$B106=Medium_Complexity!$B$2:$B$72),0,1),0),MATCH(Analysis_Medium!F$42,Medium_Complexity!$A$2:$K$2,0))</f>
        <v>3</v>
      </c>
      <c r="G106" cm="1">
        <f t="array" ref="G106">INDEX(Medium_Complexity!$A$2:$K$72,MATCH(1,INDEX((Analysis_Medium!$A106=Medium_Complexity!$A$2:$A$72)*(Analysis_Medium!$B106=Medium_Complexity!$B$2:$B$72),0,1),0),MATCH(Analysis_Medium!G$42,Medium_Complexity!$A$2:$K$2,0))</f>
        <v>4</v>
      </c>
      <c r="H106" cm="1">
        <f t="array" ref="H106">INDEX(Medium_Complexity!$A$2:$K$72,MATCH(1,INDEX((Analysis_Medium!$A106=Medium_Complexity!$A$2:$A$72)*(Analysis_Medium!$B106=Medium_Complexity!$B$2:$B$72),0,1),0),MATCH(Analysis_Medium!H$42,Medium_Complexity!$A$2:$K$2,0))</f>
        <v>4</v>
      </c>
      <c r="I106" cm="1">
        <f t="array" ref="I106">INDEX(Medium_Complexity!$A$2:$K$72,MATCH(1,INDEX((Analysis_Medium!$A106=Medium_Complexity!$A$2:$A$72)*(Analysis_Medium!$B106=Medium_Complexity!$B$2:$B$72),0,1),0),MATCH(Analysis_Medium!I$42,Medium_Complexity!$A$2:$K$2,0))</f>
        <v>1</v>
      </c>
      <c r="J106" cm="1">
        <f t="array" ref="J106">INDEX(Medium_Complexity!$A$2:$K$72,MATCH(1,INDEX((Analysis_Medium!$A106=Medium_Complexity!$A$2:$A$72)*(Analysis_Medium!$B106=Medium_Complexity!$B$2:$B$72),0,1),0),MATCH(Analysis_Medium!J$42,Medium_Complexity!$A$2:$K$2,0))</f>
        <v>3</v>
      </c>
      <c r="K106" cm="1">
        <f t="array" ref="K106">INDEX(Medium_Complexity!$A$2:$M$72,MATCH(1,INDEX((Analysis_Medium!$A106=Medium_Complexity!$A$2:$A$72)*(Analysis_Medium!$B106=Medium_Complexity!$B$2:$B$72),0,1),0),MATCH(Analysis_Medium!K$23,Medium_Complexity!$A$2:$M$2,0))</f>
        <v>15</v>
      </c>
    </row>
    <row r="107" spans="1:11" x14ac:dyDescent="0.25">
      <c r="A107">
        <f t="shared" si="33"/>
        <v>8</v>
      </c>
      <c r="B107" t="s">
        <v>21</v>
      </c>
      <c r="C107" cm="1">
        <f t="array" ref="C107">INDEX(Medium_Complexity!$A$2:$K$72,MATCH(1,INDEX((Analysis_Medium!$A107=Medium_Complexity!$A$2:$A$72)*(Analysis_Medium!$B107=Medium_Complexity!$B$2:$B$72),0,1),0),MATCH(Analysis_Medium!C$42,Medium_Complexity!$A$2:$K$2,0))</f>
        <v>3</v>
      </c>
      <c r="D107" cm="1">
        <f t="array" ref="D107">INDEX(Medium_Complexity!$A$2:$K$72,MATCH(1,INDEX((Analysis_Medium!$A107=Medium_Complexity!$A$2:$A$72)*(Analysis_Medium!$B107=Medium_Complexity!$B$2:$B$72),0,1),0),MATCH(Analysis_Medium!D$42,Medium_Complexity!$A$2:$K$2,0))</f>
        <v>3</v>
      </c>
      <c r="E107" cm="1">
        <f t="array" ref="E107">INDEX(Medium_Complexity!$A$2:$K$72,MATCH(1,INDEX((Analysis_Medium!$A107=Medium_Complexity!$A$2:$A$72)*(Analysis_Medium!$B107=Medium_Complexity!$B$2:$B$72),0,1),0),MATCH(Analysis_Medium!E$42,Medium_Complexity!$A$2:$K$2,0))</f>
        <v>2</v>
      </c>
      <c r="F107" cm="1">
        <f t="array" ref="F107">INDEX(Medium_Complexity!$A$2:$K$72,MATCH(1,INDEX((Analysis_Medium!$A107=Medium_Complexity!$A$2:$A$72)*(Analysis_Medium!$B107=Medium_Complexity!$B$2:$B$72),0,1),0),MATCH(Analysis_Medium!F$42,Medium_Complexity!$A$2:$K$2,0))</f>
        <v>3</v>
      </c>
      <c r="G107" cm="1">
        <f t="array" ref="G107">INDEX(Medium_Complexity!$A$2:$K$72,MATCH(1,INDEX((Analysis_Medium!$A107=Medium_Complexity!$A$2:$A$72)*(Analysis_Medium!$B107=Medium_Complexity!$B$2:$B$72),0,1),0),MATCH(Analysis_Medium!G$42,Medium_Complexity!$A$2:$K$2,0))</f>
        <v>2</v>
      </c>
      <c r="H107" cm="1">
        <f t="array" ref="H107">INDEX(Medium_Complexity!$A$2:$K$72,MATCH(1,INDEX((Analysis_Medium!$A107=Medium_Complexity!$A$2:$A$72)*(Analysis_Medium!$B107=Medium_Complexity!$B$2:$B$72),0,1),0),MATCH(Analysis_Medium!H$42,Medium_Complexity!$A$2:$K$2,0))</f>
        <v>2</v>
      </c>
      <c r="I107" cm="1">
        <f t="array" ref="I107">INDEX(Medium_Complexity!$A$2:$K$72,MATCH(1,INDEX((Analysis_Medium!$A107=Medium_Complexity!$A$2:$A$72)*(Analysis_Medium!$B107=Medium_Complexity!$B$2:$B$72),0,1),0),MATCH(Analysis_Medium!I$42,Medium_Complexity!$A$2:$K$2,0))</f>
        <v>5</v>
      </c>
      <c r="J107" cm="1">
        <f t="array" ref="J107">INDEX(Medium_Complexity!$A$2:$K$72,MATCH(1,INDEX((Analysis_Medium!$A107=Medium_Complexity!$A$2:$A$72)*(Analysis_Medium!$B107=Medium_Complexity!$B$2:$B$72),0,1),0),MATCH(Analysis_Medium!J$42,Medium_Complexity!$A$2:$K$2,0))</f>
        <v>3</v>
      </c>
      <c r="K107" cm="1">
        <f t="array" ref="K107">INDEX(Medium_Complexity!$A$2:$M$72,MATCH(1,INDEX((Analysis_Medium!$A107=Medium_Complexity!$A$2:$A$72)*(Analysis_Medium!$B107=Medium_Complexity!$B$2:$B$72),0,1),0),MATCH(Analysis_Medium!K$23,Medium_Complexity!$A$2:$M$2,0))</f>
        <v>30</v>
      </c>
    </row>
    <row r="108" spans="1:11" x14ac:dyDescent="0.25">
      <c r="A108">
        <f t="shared" si="33"/>
        <v>9</v>
      </c>
      <c r="B108" t="s">
        <v>21</v>
      </c>
      <c r="C108" cm="1">
        <f t="array" ref="C108">INDEX(Medium_Complexity!$A$2:$K$72,MATCH(1,INDEX((Analysis_Medium!$A108=Medium_Complexity!$A$2:$A$72)*(Analysis_Medium!$B108=Medium_Complexity!$B$2:$B$72),0,1),0),MATCH(Analysis_Medium!C$42,Medium_Complexity!$A$2:$K$2,0))</f>
        <v>1</v>
      </c>
      <c r="D108" cm="1">
        <f t="array" ref="D108">INDEX(Medium_Complexity!$A$2:$K$72,MATCH(1,INDEX((Analysis_Medium!$A108=Medium_Complexity!$A$2:$A$72)*(Analysis_Medium!$B108=Medium_Complexity!$B$2:$B$72),0,1),0),MATCH(Analysis_Medium!D$42,Medium_Complexity!$A$2:$K$2,0))</f>
        <v>4</v>
      </c>
      <c r="E108" cm="1">
        <f t="array" ref="E108">INDEX(Medium_Complexity!$A$2:$K$72,MATCH(1,INDEX((Analysis_Medium!$A108=Medium_Complexity!$A$2:$A$72)*(Analysis_Medium!$B108=Medium_Complexity!$B$2:$B$72),0,1),0),MATCH(Analysis_Medium!E$42,Medium_Complexity!$A$2:$K$2,0))</f>
        <v>3</v>
      </c>
      <c r="F108" cm="1">
        <f t="array" ref="F108">INDEX(Medium_Complexity!$A$2:$K$72,MATCH(1,INDEX((Analysis_Medium!$A108=Medium_Complexity!$A$2:$A$72)*(Analysis_Medium!$B108=Medium_Complexity!$B$2:$B$72),0,1),0),MATCH(Analysis_Medium!F$42,Medium_Complexity!$A$2:$K$2,0))</f>
        <v>1</v>
      </c>
      <c r="G108" cm="1">
        <f t="array" ref="G108">INDEX(Medium_Complexity!$A$2:$K$72,MATCH(1,INDEX((Analysis_Medium!$A108=Medium_Complexity!$A$2:$A$72)*(Analysis_Medium!$B108=Medium_Complexity!$B$2:$B$72),0,1),0),MATCH(Analysis_Medium!G$42,Medium_Complexity!$A$2:$K$2,0))</f>
        <v>2</v>
      </c>
      <c r="H108" cm="1">
        <f t="array" ref="H108">INDEX(Medium_Complexity!$A$2:$K$72,MATCH(1,INDEX((Analysis_Medium!$A108=Medium_Complexity!$A$2:$A$72)*(Analysis_Medium!$B108=Medium_Complexity!$B$2:$B$72),0,1),0),MATCH(Analysis_Medium!H$42,Medium_Complexity!$A$2:$K$2,0))</f>
        <v>3</v>
      </c>
      <c r="I108" cm="1">
        <f t="array" ref="I108">INDEX(Medium_Complexity!$A$2:$K$72,MATCH(1,INDEX((Analysis_Medium!$A108=Medium_Complexity!$A$2:$A$72)*(Analysis_Medium!$B108=Medium_Complexity!$B$2:$B$72),0,1),0),MATCH(Analysis_Medium!I$42,Medium_Complexity!$A$2:$K$2,0))</f>
        <v>1</v>
      </c>
      <c r="J108" cm="1">
        <f t="array" ref="J108">INDEX(Medium_Complexity!$A$2:$K$72,MATCH(1,INDEX((Analysis_Medium!$A108=Medium_Complexity!$A$2:$A$72)*(Analysis_Medium!$B108=Medium_Complexity!$B$2:$B$72),0,1),0),MATCH(Analysis_Medium!J$42,Medium_Complexity!$A$2:$K$2,0))</f>
        <v>2</v>
      </c>
      <c r="K108" cm="1">
        <f t="array" ref="K108">INDEX(Medium_Complexity!$A$2:$M$72,MATCH(1,INDEX((Analysis_Medium!$A108=Medium_Complexity!$A$2:$A$72)*(Analysis_Medium!$B108=Medium_Complexity!$B$2:$B$72),0,1),0),MATCH(Analysis_Medium!K$23,Medium_Complexity!$A$2:$M$2,0))</f>
        <v>10</v>
      </c>
    </row>
    <row r="109" spans="1:11" x14ac:dyDescent="0.25">
      <c r="A109">
        <f t="shared" si="33"/>
        <v>10</v>
      </c>
      <c r="B109" t="s">
        <v>21</v>
      </c>
    </row>
    <row r="110" spans="1:11" x14ac:dyDescent="0.25">
      <c r="A110">
        <f t="shared" si="33"/>
        <v>11</v>
      </c>
      <c r="B110" t="s">
        <v>21</v>
      </c>
    </row>
    <row r="111" spans="1:11" x14ac:dyDescent="0.25">
      <c r="A111">
        <f t="shared" si="33"/>
        <v>12</v>
      </c>
      <c r="B111" t="s">
        <v>21</v>
      </c>
    </row>
    <row r="112" spans="1:11" x14ac:dyDescent="0.25">
      <c r="A112">
        <f t="shared" si="33"/>
        <v>13</v>
      </c>
      <c r="B112" t="s">
        <v>21</v>
      </c>
    </row>
    <row r="113" spans="1:11" x14ac:dyDescent="0.25">
      <c r="A113">
        <f t="shared" si="33"/>
        <v>14</v>
      </c>
      <c r="B113" t="s">
        <v>21</v>
      </c>
    </row>
    <row r="114" spans="1:11" x14ac:dyDescent="0.25">
      <c r="A114" s="2" t="s">
        <v>23</v>
      </c>
      <c r="B114" s="2"/>
      <c r="C114" s="2" cm="1">
        <f t="array" ref="C114">AVERAGE(IFERROR(C100:C108,""))</f>
        <v>2.4444444444444446</v>
      </c>
      <c r="D114" s="2" cm="1">
        <f t="array" ref="D114">AVERAGE(IFERROR(D100:D108,""))</f>
        <v>3.2222222222222223</v>
      </c>
      <c r="E114" s="2" cm="1">
        <f t="array" ref="E114">AVERAGE(IFERROR(E100:E108,""))</f>
        <v>2.7777777777777777</v>
      </c>
      <c r="F114" s="2" cm="1">
        <f t="array" ref="F114">AVERAGE(IFERROR(F100:F108,""))</f>
        <v>2.8888888888888888</v>
      </c>
      <c r="G114" s="2" cm="1">
        <f t="array" ref="G114">AVERAGE(IFERROR(G100:G108,""))</f>
        <v>2.6666666666666665</v>
      </c>
      <c r="H114" s="2" cm="1">
        <f t="array" ref="H114">AVERAGE(IFERROR(H100:H108,""))</f>
        <v>3.4444444444444446</v>
      </c>
      <c r="I114" s="2" cm="1">
        <f t="array" ref="I114">AVERAGE(IFERROR(I100:I108,""))</f>
        <v>2.6666666666666665</v>
      </c>
      <c r="J114" s="2" cm="1">
        <f t="array" ref="J114">AVERAGE(IFERROR(J100:J108,""))</f>
        <v>2.8888888888888888</v>
      </c>
      <c r="K114" s="2" cm="1">
        <f t="array" ref="K114">AVERAGE(IFERROR(K100:K108,""))</f>
        <v>18.333333333333332</v>
      </c>
    </row>
    <row r="115" spans="1:11" x14ac:dyDescent="0.25">
      <c r="A115" t="s">
        <v>24</v>
      </c>
      <c r="C115" cm="1">
        <f t="array" ref="C115">MEDIAN(IFERROR(C100:C113,""))</f>
        <v>1</v>
      </c>
      <c r="D115" cm="1">
        <f t="array" ref="D115">MEDIAN(IFERROR(D100:D113,""))</f>
        <v>2</v>
      </c>
      <c r="E115" cm="1">
        <f t="array" ref="E115">MEDIAN(IFERROR(E100:E113,""))</f>
        <v>2</v>
      </c>
      <c r="F115" cm="1">
        <f t="array" ref="F115">MEDIAN(IFERROR(F100:F113,""))</f>
        <v>2</v>
      </c>
      <c r="G115" cm="1">
        <f t="array" ref="G115">MEDIAN(IFERROR(G100:G113,""))</f>
        <v>2</v>
      </c>
      <c r="H115" cm="1">
        <f t="array" ref="H115">MEDIAN(IFERROR(H100:H113,""))</f>
        <v>2.5</v>
      </c>
      <c r="I115" cm="1">
        <f t="array" ref="I115">MEDIAN(IFERROR(I100:I113,""))</f>
        <v>1</v>
      </c>
      <c r="J115" cm="1">
        <f t="array" ref="J115">MEDIAN(IFERROR(J100:J113,""))</f>
        <v>2.5</v>
      </c>
      <c r="K115" cm="1">
        <f t="array" ref="K115">MEDIAN(IFERROR(K100:K113,""))</f>
        <v>10</v>
      </c>
    </row>
    <row r="117" spans="1:11" x14ac:dyDescent="0.25">
      <c r="C117" s="26"/>
    </row>
  </sheetData>
  <mergeCells count="2">
    <mergeCell ref="B2:I2"/>
    <mergeCell ref="B13:I13"/>
  </mergeCells>
  <pageMargins left="0.7" right="0.7" top="0.78740157499999996" bottom="0.78740157499999996" header="0.3" footer="0.3"/>
  <ignoredErrors>
    <ignoredError sqref="C15:C19 C4:C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724D8-4133-4AC6-A8F3-9155EE2F2B9C}">
  <sheetPr codeName="Tabelle9"/>
  <dimension ref="A1:K115"/>
  <sheetViews>
    <sheetView zoomScale="47" zoomScaleNormal="85" workbookViewId="0">
      <selection activeCell="C4" sqref="C4:C8"/>
    </sheetView>
  </sheetViews>
  <sheetFormatPr defaultColWidth="10.85546875" defaultRowHeight="15" x14ac:dyDescent="0.25"/>
  <cols>
    <col min="1" max="1" width="10.5703125" bestFit="1" customWidth="1"/>
    <col min="2" max="3" width="16.85546875" bestFit="1" customWidth="1"/>
    <col min="4" max="5" width="16.5703125" bestFit="1" customWidth="1"/>
    <col min="6" max="6" width="27" bestFit="1" customWidth="1"/>
    <col min="7" max="7" width="7.140625" bestFit="1" customWidth="1"/>
    <col min="8" max="9" width="38.140625" bestFit="1" customWidth="1"/>
    <col min="10" max="11" width="26" bestFit="1" customWidth="1"/>
  </cols>
  <sheetData>
    <row r="1" spans="1:11" x14ac:dyDescent="0.2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B2" s="30" t="s">
        <v>29</v>
      </c>
      <c r="C2" s="30"/>
      <c r="D2" s="30"/>
      <c r="E2" s="30"/>
      <c r="F2" s="30"/>
      <c r="G2" s="30"/>
      <c r="H2" s="30"/>
      <c r="I2" s="30"/>
    </row>
    <row r="3" spans="1:11" x14ac:dyDescent="0.2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</row>
    <row r="4" spans="1:11" x14ac:dyDescent="0.25">
      <c r="A4" t="s">
        <v>12</v>
      </c>
      <c r="B4">
        <f>INDEX($A$42:$K$58,MATCH($B$1,$A$42:$A$58,0),MATCH(B$3,$A$42:$K$42,0))</f>
        <v>31.666666666666668</v>
      </c>
      <c r="C4" s="5">
        <f>B4/SUM($B$4:$B$8)</f>
        <v>0.30206677265500792</v>
      </c>
      <c r="D4" s="28">
        <f>INDEX($A$42:$K$58,MATCH($B$1,$A$42:$A$58,0),MATCH(D$3,$A$42:$K$42,0))</f>
        <v>2.8333333333333335</v>
      </c>
      <c r="E4" s="28">
        <f t="shared" ref="E4:K4" si="0">INDEX($A$42:$K$58,MATCH($B$1,$A$42:$A$58,0),MATCH(E$3,$A$42:$K$42,0))</f>
        <v>4</v>
      </c>
      <c r="F4" s="28">
        <f t="shared" si="0"/>
        <v>2.1666666666666665</v>
      </c>
      <c r="G4" s="28">
        <f t="shared" si="0"/>
        <v>4</v>
      </c>
      <c r="H4" s="28">
        <f t="shared" si="0"/>
        <v>3.8333333333333335</v>
      </c>
      <c r="I4" s="28">
        <f t="shared" si="0"/>
        <v>3.6666666666666665</v>
      </c>
      <c r="J4" s="28">
        <f t="shared" si="0"/>
        <v>2.1666666666666665</v>
      </c>
      <c r="K4" s="28">
        <f t="shared" si="0"/>
        <v>3.3333333333333335</v>
      </c>
    </row>
    <row r="5" spans="1:11" x14ac:dyDescent="0.25">
      <c r="A5" t="s">
        <v>15</v>
      </c>
      <c r="B5">
        <f>INDEX($A$61:$K$77,MATCH($B$1,$A$61:$A$77,0),MATCH(B$3,$A$61:$K$61,0))</f>
        <v>25.333333333333332</v>
      </c>
      <c r="C5" s="5">
        <f t="shared" ref="C5:C8" si="1">B5/SUM($B$4:$B$8)</f>
        <v>0.24165341812400631</v>
      </c>
      <c r="D5" s="28">
        <f>INDEX($A$61:$K$77,MATCH($B$1,$A$61:$A$77,0),MATCH(D$3,$A$61:$K$61,0))</f>
        <v>2.8333333333333335</v>
      </c>
      <c r="E5" s="28">
        <f t="shared" ref="E5:K5" si="2">INDEX($A$61:$K$77,MATCH($B$1,$A$61:$A$77,0),MATCH(E$3,$A$61:$K$61,0))</f>
        <v>3.8333333333333335</v>
      </c>
      <c r="F5" s="28">
        <f t="shared" si="2"/>
        <v>2</v>
      </c>
      <c r="G5" s="28">
        <f t="shared" si="2"/>
        <v>4.333333333333333</v>
      </c>
      <c r="H5" s="28">
        <f t="shared" si="2"/>
        <v>2.5</v>
      </c>
      <c r="I5" s="28">
        <f t="shared" si="2"/>
        <v>3.3333333333333335</v>
      </c>
      <c r="J5" s="28">
        <f t="shared" si="2"/>
        <v>2.1666666666666665</v>
      </c>
      <c r="K5" s="28">
        <f t="shared" si="2"/>
        <v>3</v>
      </c>
    </row>
    <row r="6" spans="1:11" x14ac:dyDescent="0.25">
      <c r="A6" t="s">
        <v>17</v>
      </c>
      <c r="B6">
        <f>INDEX($A$80:$K$96,MATCH($B$1,$A$80:$A$96,0),MATCH(B$3,$A$80:$K$80,0))</f>
        <v>14.666666666666666</v>
      </c>
      <c r="C6" s="5">
        <f t="shared" si="1"/>
        <v>0.13990461049284578</v>
      </c>
      <c r="D6" s="28">
        <f t="shared" ref="D6:K6" si="3">INDEX($A$80:$K$96,MATCH($B$1,$A$80:$A$96,0),MATCH(D$3,$A$80:$K$80,0))</f>
        <v>2.6666666666666665</v>
      </c>
      <c r="E6" s="28">
        <f t="shared" si="3"/>
        <v>3.5</v>
      </c>
      <c r="F6" s="28">
        <f t="shared" si="3"/>
        <v>2.8333333333333335</v>
      </c>
      <c r="G6" s="28">
        <f t="shared" si="3"/>
        <v>4</v>
      </c>
      <c r="H6" s="28">
        <f t="shared" si="3"/>
        <v>3.5</v>
      </c>
      <c r="I6" s="28">
        <f t="shared" si="3"/>
        <v>4.333333333333333</v>
      </c>
      <c r="J6" s="28">
        <f t="shared" si="3"/>
        <v>2.6666666666666665</v>
      </c>
      <c r="K6" s="28">
        <f t="shared" si="3"/>
        <v>3.5</v>
      </c>
    </row>
    <row r="7" spans="1:11" x14ac:dyDescent="0.25">
      <c r="A7" t="s">
        <v>16</v>
      </c>
      <c r="B7">
        <f>INDEX($A$23:$K$39,MATCH($B$1,$A$23:$A$39,0),MATCH(B$3,$A$23:$K$23,0))</f>
        <v>19.166666666666668</v>
      </c>
      <c r="C7" s="5">
        <f t="shared" si="1"/>
        <v>0.18282988871224165</v>
      </c>
      <c r="D7" s="28">
        <f>INDEX($A$23:$K$39,MATCH($B$1,$A$23:$A$39,0),MATCH(D$3,$A$23:$K$23,0))</f>
        <v>3.6666666666666665</v>
      </c>
      <c r="E7" s="28">
        <f t="shared" ref="E7:K7" si="4">INDEX($A$23:$K$39,MATCH($B$1,$A$23:$A$39,0),MATCH(E$3,$A$23:$K$23,0))</f>
        <v>2.3333333333333335</v>
      </c>
      <c r="F7" s="28">
        <f t="shared" si="4"/>
        <v>2.3333333333333335</v>
      </c>
      <c r="G7" s="28">
        <f t="shared" si="4"/>
        <v>3.3333333333333335</v>
      </c>
      <c r="H7" s="28">
        <f t="shared" si="4"/>
        <v>2.1666666666666665</v>
      </c>
      <c r="I7" s="28">
        <f t="shared" si="4"/>
        <v>2.8333333333333335</v>
      </c>
      <c r="J7" s="28">
        <f t="shared" si="4"/>
        <v>3</v>
      </c>
      <c r="K7" s="28">
        <f t="shared" si="4"/>
        <v>2</v>
      </c>
    </row>
    <row r="8" spans="1:11" x14ac:dyDescent="0.25">
      <c r="A8" t="s">
        <v>21</v>
      </c>
      <c r="B8">
        <f>INDEX($A$99:$K$115,MATCH($B$1,$A$99:$A$115,0),MATCH(B$3,$A$99:$K$99,0))</f>
        <v>14</v>
      </c>
      <c r="C8" s="5">
        <f t="shared" si="1"/>
        <v>0.13354531001589823</v>
      </c>
      <c r="D8" s="28">
        <f t="shared" ref="D8:K8" si="5">INDEX($A$99:$K$115,MATCH($B$1,$A$99:$A$115,0),MATCH(D$3,$A$99:$K$99,0))</f>
        <v>3.6</v>
      </c>
      <c r="E8" s="28">
        <f t="shared" si="5"/>
        <v>4</v>
      </c>
      <c r="F8" s="28">
        <f t="shared" si="5"/>
        <v>1.8</v>
      </c>
      <c r="G8" s="28">
        <f t="shared" si="5"/>
        <v>4</v>
      </c>
      <c r="H8" s="28">
        <f t="shared" si="5"/>
        <v>2.2000000000000002</v>
      </c>
      <c r="I8" s="28">
        <f t="shared" si="5"/>
        <v>2.2000000000000002</v>
      </c>
      <c r="J8" s="28">
        <f t="shared" si="5"/>
        <v>3.2</v>
      </c>
      <c r="K8" s="28">
        <f t="shared" si="5"/>
        <v>3.4</v>
      </c>
    </row>
    <row r="9" spans="1:11" x14ac:dyDescent="0.25">
      <c r="A9" s="2" t="s">
        <v>27</v>
      </c>
      <c r="B9" s="2"/>
      <c r="C9" s="2"/>
      <c r="D9" s="29">
        <f>SUMPRODUCT($C$4:$C$8,D4:D8)</f>
        <v>3.064758876523582</v>
      </c>
      <c r="E9" s="29">
        <f t="shared" ref="E9:K9" si="6">SUMPRODUCT($C$4:$C$8,E4:E8)</f>
        <v>3.5850556438791727</v>
      </c>
      <c r="F9" s="29">
        <f t="shared" si="6"/>
        <v>2.2011658717541067</v>
      </c>
      <c r="G9" s="29">
        <f t="shared" si="6"/>
        <v>3.9586645468998403</v>
      </c>
      <c r="H9" s="29">
        <f t="shared" si="6"/>
        <v>2.9416534181240057</v>
      </c>
      <c r="I9" s="29">
        <f t="shared" si="6"/>
        <v>3.3311605723370423</v>
      </c>
      <c r="J9" s="29">
        <f t="shared" si="6"/>
        <v>2.5269740328563857</v>
      </c>
      <c r="K9" s="29">
        <f t="shared" si="6"/>
        <v>3.0412294647588762</v>
      </c>
    </row>
    <row r="10" spans="1:11" x14ac:dyDescent="0.25">
      <c r="C10" s="5" t="s">
        <v>56</v>
      </c>
      <c r="D10">
        <f>STDEV(D4:D8)</f>
        <v>0.47410734836931129</v>
      </c>
      <c r="E10">
        <f t="shared" ref="E10:K10" si="7">STDEV(E4:E8)</f>
        <v>0.70118946559875217</v>
      </c>
      <c r="F10">
        <f t="shared" si="7"/>
        <v>0.39256988054499176</v>
      </c>
      <c r="G10">
        <f t="shared" si="7"/>
        <v>0.36514837167011061</v>
      </c>
      <c r="H10">
        <f t="shared" si="7"/>
        <v>0.77474009978974456</v>
      </c>
      <c r="I10">
        <f t="shared" si="7"/>
        <v>0.81048682215622003</v>
      </c>
      <c r="J10">
        <f t="shared" si="7"/>
        <v>0.47222875812470461</v>
      </c>
      <c r="K10">
        <f t="shared" si="7"/>
        <v>0.61445549517890741</v>
      </c>
    </row>
    <row r="11" spans="1:11" x14ac:dyDescent="0.25">
      <c r="C11" s="5"/>
    </row>
    <row r="12" spans="1:11" x14ac:dyDescent="0.25">
      <c r="A12" s="1" t="s">
        <v>25</v>
      </c>
      <c r="B12" s="1" t="s">
        <v>24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5">
      <c r="B13" s="30" t="s">
        <v>28</v>
      </c>
      <c r="C13" s="30"/>
      <c r="D13" s="30"/>
      <c r="E13" s="30"/>
      <c r="F13" s="30"/>
      <c r="G13" s="30"/>
      <c r="H13" s="30"/>
      <c r="I13" s="30"/>
    </row>
    <row r="14" spans="1:11" x14ac:dyDescent="0.25">
      <c r="A14" s="4" t="s">
        <v>0</v>
      </c>
      <c r="B14" s="4" t="s">
        <v>10</v>
      </c>
      <c r="C14" s="4" t="s">
        <v>26</v>
      </c>
      <c r="D14" s="4" t="s">
        <v>1</v>
      </c>
      <c r="E14" s="12" t="s">
        <v>37</v>
      </c>
      <c r="F14" s="4" t="s">
        <v>3</v>
      </c>
      <c r="G14" s="4" t="s">
        <v>38</v>
      </c>
      <c r="H14" s="4" t="s">
        <v>5</v>
      </c>
      <c r="I14" s="4" t="s">
        <v>41</v>
      </c>
      <c r="J14" s="4" t="s">
        <v>42</v>
      </c>
      <c r="K14" s="4" t="s">
        <v>39</v>
      </c>
    </row>
    <row r="15" spans="1:11" x14ac:dyDescent="0.25">
      <c r="A15" t="s">
        <v>12</v>
      </c>
      <c r="B15">
        <f>INDEX($A$42:$K$58,MATCH($B$12,$A$42:$A$58,0),MATCH(B$14,$A$42:$K$42,0))</f>
        <v>27.5</v>
      </c>
      <c r="C15" s="5">
        <f>B15/SUM($B$4:$B$8)</f>
        <v>0.26232114467408585</v>
      </c>
      <c r="D15">
        <f t="shared" ref="D15:K15" si="8">INDEX($A$42:$K$58,MATCH($B$12,$A$42:$A$58,0),MATCH(D$14,$A$42:$K$42,0))</f>
        <v>3</v>
      </c>
      <c r="E15">
        <f t="shared" si="8"/>
        <v>4</v>
      </c>
      <c r="F15">
        <f t="shared" si="8"/>
        <v>2</v>
      </c>
      <c r="G15">
        <f t="shared" si="8"/>
        <v>4</v>
      </c>
      <c r="H15">
        <f t="shared" si="8"/>
        <v>4</v>
      </c>
      <c r="I15">
        <f t="shared" si="8"/>
        <v>4.5</v>
      </c>
      <c r="J15">
        <f t="shared" si="8"/>
        <v>2</v>
      </c>
      <c r="K15">
        <f t="shared" si="8"/>
        <v>3.5</v>
      </c>
    </row>
    <row r="16" spans="1:11" x14ac:dyDescent="0.25">
      <c r="A16" t="s">
        <v>15</v>
      </c>
      <c r="B16">
        <f>INDEX($A$61:$K$77,MATCH($B$12,$A$61:$A$77,0),MATCH(B$14,$A$61:$K$61,0))</f>
        <v>22.5</v>
      </c>
      <c r="C16" s="5">
        <f t="shared" ref="C16:C19" si="9">B16/SUM($B$4:$B$8)</f>
        <v>0.21462639109697931</v>
      </c>
      <c r="D16">
        <f t="shared" ref="D16:K16" si="10">INDEX($A$61:$K$77,MATCH($B$12,$A$61:$A$77,0),MATCH(D$14,$A$61:$K$61,0))</f>
        <v>2.5</v>
      </c>
      <c r="E16">
        <f t="shared" si="10"/>
        <v>4</v>
      </c>
      <c r="F16">
        <f t="shared" si="10"/>
        <v>2</v>
      </c>
      <c r="G16">
        <f t="shared" si="10"/>
        <v>4</v>
      </c>
      <c r="H16">
        <f t="shared" si="10"/>
        <v>2.5</v>
      </c>
      <c r="I16">
        <f t="shared" si="10"/>
        <v>3.5</v>
      </c>
      <c r="J16">
        <f t="shared" si="10"/>
        <v>2</v>
      </c>
      <c r="K16">
        <f t="shared" si="10"/>
        <v>2.5</v>
      </c>
    </row>
    <row r="17" spans="1:11" x14ac:dyDescent="0.25">
      <c r="A17" t="s">
        <v>17</v>
      </c>
      <c r="B17">
        <f>INDEX($A$80:$K$96,MATCH($B$12,$A$80:$A$96,0),MATCH(B$14,$A$80:$K$80,0))</f>
        <v>12.5</v>
      </c>
      <c r="C17" s="5">
        <f t="shared" si="9"/>
        <v>0.11923688394276628</v>
      </c>
      <c r="D17">
        <f t="shared" ref="D17:K17" si="11">INDEX($A$80:$K$96,MATCH($B$12,$A$80:$A$96,0),MATCH(D$14,$A$80:$K$80,0))</f>
        <v>2.5</v>
      </c>
      <c r="E17">
        <f t="shared" si="11"/>
        <v>4</v>
      </c>
      <c r="F17">
        <f t="shared" si="11"/>
        <v>2.5</v>
      </c>
      <c r="G17">
        <f t="shared" si="11"/>
        <v>4</v>
      </c>
      <c r="H17">
        <f t="shared" si="11"/>
        <v>3.5</v>
      </c>
      <c r="I17">
        <f t="shared" si="11"/>
        <v>5</v>
      </c>
      <c r="J17">
        <f t="shared" si="11"/>
        <v>3</v>
      </c>
      <c r="K17">
        <f t="shared" si="11"/>
        <v>4</v>
      </c>
    </row>
    <row r="18" spans="1:11" x14ac:dyDescent="0.25">
      <c r="A18" t="s">
        <v>16</v>
      </c>
      <c r="B18">
        <f>INDEX($A$23:$K$39,MATCH($B$12,$A$23:$A$39,0),MATCH(B$14,$A$23:$K$23,0))</f>
        <v>20</v>
      </c>
      <c r="C18" s="5">
        <f t="shared" si="9"/>
        <v>0.19077901430842606</v>
      </c>
      <c r="D18">
        <f t="shared" ref="D18:K18" si="12">INDEX($A$23:$K$39,MATCH($B$12,$A$23:$A$39,0),MATCH(D$14,$A$23:$K$23,0))</f>
        <v>4</v>
      </c>
      <c r="E18">
        <f t="shared" si="12"/>
        <v>2.5</v>
      </c>
      <c r="F18">
        <f t="shared" si="12"/>
        <v>2</v>
      </c>
      <c r="G18">
        <f t="shared" si="12"/>
        <v>3.5</v>
      </c>
      <c r="H18">
        <f t="shared" si="12"/>
        <v>2</v>
      </c>
      <c r="I18">
        <f t="shared" si="12"/>
        <v>2.5</v>
      </c>
      <c r="J18">
        <f t="shared" si="12"/>
        <v>3</v>
      </c>
      <c r="K18">
        <f t="shared" si="12"/>
        <v>2</v>
      </c>
    </row>
    <row r="19" spans="1:11" x14ac:dyDescent="0.25">
      <c r="A19" t="s">
        <v>19</v>
      </c>
      <c r="B19">
        <f>INDEX($A$99:$K$115,MATCH($B$12,$A$99:$A$115,0),MATCH(B$14,$A$99:$K$99,0))</f>
        <v>10</v>
      </c>
      <c r="C19" s="5">
        <f t="shared" si="9"/>
        <v>9.538950715421303E-2</v>
      </c>
      <c r="D19">
        <f t="shared" ref="D19:K19" si="13">INDEX($A$99:$K$115,MATCH($B$12,$A$99:$A$115,0),MATCH(D$14,$A$99:$K$99,0))</f>
        <v>4</v>
      </c>
      <c r="E19">
        <f t="shared" si="13"/>
        <v>4</v>
      </c>
      <c r="F19">
        <f t="shared" si="13"/>
        <v>1</v>
      </c>
      <c r="G19">
        <f t="shared" si="13"/>
        <v>4</v>
      </c>
      <c r="H19">
        <f t="shared" si="13"/>
        <v>2</v>
      </c>
      <c r="I19">
        <f t="shared" si="13"/>
        <v>2</v>
      </c>
      <c r="J19">
        <f t="shared" si="13"/>
        <v>3</v>
      </c>
      <c r="K19">
        <f t="shared" si="13"/>
        <v>3</v>
      </c>
    </row>
    <row r="20" spans="1:11" x14ac:dyDescent="0.25">
      <c r="A20" s="2" t="s">
        <v>27</v>
      </c>
      <c r="B20" s="2"/>
      <c r="C20" s="2"/>
      <c r="D20" s="6">
        <f>SUMPRODUCT($C$4:$C$8,D15:D19)</f>
        <v>3.1255961844197135</v>
      </c>
      <c r="E20" s="6">
        <f t="shared" ref="E20:K20" si="14">SUMPRODUCT($C$4:$C$8,E15:E19)</f>
        <v>3.7257551669316369</v>
      </c>
      <c r="F20" s="6">
        <f t="shared" si="14"/>
        <v>1.9364069952305247</v>
      </c>
      <c r="G20" s="6">
        <f t="shared" si="14"/>
        <v>3.9085850556438784</v>
      </c>
      <c r="H20" s="6">
        <f t="shared" si="14"/>
        <v>2.934817170111288</v>
      </c>
      <c r="I20" s="6">
        <f t="shared" si="14"/>
        <v>3.6287758346581871</v>
      </c>
      <c r="J20" s="6">
        <f t="shared" si="14"/>
        <v>2.4562798092209852</v>
      </c>
      <c r="K20" s="6">
        <f t="shared" si="14"/>
        <v>2.9872813990461049</v>
      </c>
    </row>
    <row r="23" spans="1:11" x14ac:dyDescent="0.25">
      <c r="A23" s="1" t="s">
        <v>22</v>
      </c>
      <c r="B23" s="1" t="s">
        <v>0</v>
      </c>
      <c r="C23" s="1" t="s">
        <v>1</v>
      </c>
      <c r="D23" s="1" t="s">
        <v>37</v>
      </c>
      <c r="E23" s="1" t="s">
        <v>3</v>
      </c>
      <c r="F23" s="1" t="s">
        <v>38</v>
      </c>
      <c r="G23" s="1" t="s">
        <v>5</v>
      </c>
      <c r="H23" s="1" t="s">
        <v>41</v>
      </c>
      <c r="I23" s="1" t="s">
        <v>42</v>
      </c>
      <c r="J23" s="13" t="s">
        <v>39</v>
      </c>
      <c r="K23" s="1" t="s">
        <v>10</v>
      </c>
    </row>
    <row r="24" spans="1:11" x14ac:dyDescent="0.25">
      <c r="A24">
        <v>1</v>
      </c>
      <c r="B24" t="s">
        <v>16</v>
      </c>
      <c r="C24" cm="1">
        <f t="array" ref="C24">INDEX(High_Complexity!$A$2:$K$72,MATCH(1,INDEX((Analysis_High!$A24=High_Complexity!$A$2:$A$72)*(Analysis_High!$B24=High_Complexity!$B$2:$B$72),0,1),0),MATCH(Analysis_High!C$23,High_Complexity!$A$2:$K$2,0))</f>
        <v>2</v>
      </c>
      <c r="D24" cm="1">
        <f t="array" ref="D24">INDEX(High_Complexity!$A$2:$K$72,MATCH(1,INDEX((Analysis_High!$A24=High_Complexity!$A$2:$A$72)*(Analysis_High!$B24=High_Complexity!$B$2:$B$72),0,1),0),MATCH(Analysis_High!D$23,High_Complexity!$A$2:$K$2,0))</f>
        <v>2</v>
      </c>
      <c r="E24" cm="1">
        <f t="array" ref="E24">INDEX(High_Complexity!$A$2:$K$72,MATCH(1,INDEX((Analysis_High!$A24=High_Complexity!$A$2:$A$72)*(Analysis_High!$B24=High_Complexity!$B$2:$B$72),0,1),0),MATCH(Analysis_High!E$23,High_Complexity!$A$2:$K$2,0))</f>
        <v>5</v>
      </c>
      <c r="F24" cm="1">
        <f t="array" ref="F24">INDEX(High_Complexity!$A$2:$K$72,MATCH(1,INDEX((Analysis_High!$A24=High_Complexity!$A$2:$A$72)*(Analysis_High!$B24=High_Complexity!$B$2:$B$72),0,1),0),MATCH(Analysis_High!F$23,High_Complexity!$A$2:$K$2,0))</f>
        <v>5</v>
      </c>
      <c r="G24" cm="1">
        <f t="array" ref="G24">INDEX(High_Complexity!$A$2:$K$72,MATCH(1,INDEX((Analysis_High!$A24=High_Complexity!$A$2:$A$72)*(Analysis_High!$B24=High_Complexity!$B$2:$B$72),0,1),0),MATCH(Analysis_High!G$23,High_Complexity!$A$2:$K$2,0))</f>
        <v>4</v>
      </c>
      <c r="H24" cm="1">
        <f t="array" ref="H24">INDEX(High_Complexity!$A$2:$K$72,MATCH(1,INDEX((Analysis_High!$A24=High_Complexity!$A$2:$A$72)*(Analysis_High!$B24=High_Complexity!$B$2:$B$72),0,1),0),MATCH(Analysis_High!H$23,High_Complexity!$A$2:$K$2,0))</f>
        <v>5</v>
      </c>
      <c r="I24" cm="1">
        <f t="array" ref="I24">INDEX(High_Complexity!$A$2:$K$72,MATCH(1,INDEX((Analysis_High!$A24=High_Complexity!$A$2:$A$72)*(Analysis_High!$B24=High_Complexity!$B$2:$B$72),0,1),0),MATCH(Analysis_High!I$23,High_Complexity!$A$2:$K$2,0))</f>
        <v>3</v>
      </c>
      <c r="J24" cm="1">
        <f t="array" ref="J24">INDEX(High_Complexity!$A$2:$K$72,MATCH(1,INDEX((Analysis_High!$A24=High_Complexity!$A$2:$A$72)*(Analysis_High!$B24=High_Complexity!$B$2:$B$72),0,1),0),MATCH(Analysis_High!J$23,High_Complexity!$A$2:$K$2,0))</f>
        <v>3</v>
      </c>
      <c r="K24" cm="1">
        <f t="array" ref="K24">INDEX(High_Complexity!$A$2:$M$72,MATCH(1,INDEX((Analysis_High!$A24=High_Complexity!$A$2:$A$72)*(Analysis_High!$B24=High_Complexity!$B$2:$B$72),0,1),0),MATCH(Analysis_High!K$23,High_Complexity!$A$2:$M$2,0))</f>
        <v>30</v>
      </c>
    </row>
    <row r="25" spans="1:11" x14ac:dyDescent="0.25">
      <c r="A25">
        <f>A24+1</f>
        <v>2</v>
      </c>
      <c r="B25" t="s">
        <v>16</v>
      </c>
      <c r="C25" cm="1">
        <f t="array" ref="C25">INDEX(High_Complexity!$A$2:$K$72,MATCH(1,INDEX((Analysis_High!$A25=High_Complexity!$A$2:$A$72)*(Analysis_High!$B25=High_Complexity!$B$2:$B$72),0,1),0),MATCH(Analysis_High!C$23,High_Complexity!$A$2:$K$2,0))</f>
        <v>4</v>
      </c>
      <c r="D25" cm="1">
        <f t="array" ref="D25">INDEX(High_Complexity!$A$2:$K$72,MATCH(1,INDEX((Analysis_High!$A25=High_Complexity!$A$2:$A$72)*(Analysis_High!$B25=High_Complexity!$B$2:$B$72),0,1),0),MATCH(Analysis_High!D$23,High_Complexity!$A$2:$K$2,0))</f>
        <v>3</v>
      </c>
      <c r="E25" cm="1">
        <f t="array" ref="E25">INDEX(High_Complexity!$A$2:$K$72,MATCH(1,INDEX((Analysis_High!$A25=High_Complexity!$A$2:$A$72)*(Analysis_High!$B25=High_Complexity!$B$2:$B$72),0,1),0),MATCH(Analysis_High!E$23,High_Complexity!$A$2:$K$2,0))</f>
        <v>1</v>
      </c>
      <c r="F25" cm="1">
        <f t="array" ref="F25">INDEX(High_Complexity!$A$2:$K$72,MATCH(1,INDEX((Analysis_High!$A25=High_Complexity!$A$2:$A$72)*(Analysis_High!$B25=High_Complexity!$B$2:$B$72),0,1),0),MATCH(Analysis_High!F$23,High_Complexity!$A$2:$K$2,0))</f>
        <v>4</v>
      </c>
      <c r="G25" cm="1">
        <f t="array" ref="G25">INDEX(High_Complexity!$A$2:$K$72,MATCH(1,INDEX((Analysis_High!$A25=High_Complexity!$A$2:$A$72)*(Analysis_High!$B25=High_Complexity!$B$2:$B$72),0,1),0),MATCH(Analysis_High!G$23,High_Complexity!$A$2:$K$2,0))</f>
        <v>2</v>
      </c>
      <c r="H25" cm="1">
        <f t="array" ref="H25">INDEX(High_Complexity!$A$2:$K$72,MATCH(1,INDEX((Analysis_High!$A25=High_Complexity!$A$2:$A$72)*(Analysis_High!$B25=High_Complexity!$B$2:$B$72),0,1),0),MATCH(Analysis_High!H$23,High_Complexity!$A$2:$K$2,0))</f>
        <v>5</v>
      </c>
      <c r="I25" cm="1">
        <f t="array" ref="I25">INDEX(High_Complexity!$A$2:$K$72,MATCH(1,INDEX((Analysis_High!$A25=High_Complexity!$A$2:$A$72)*(Analysis_High!$B25=High_Complexity!$B$2:$B$72),0,1),0),MATCH(Analysis_High!I$23,High_Complexity!$A$2:$K$2,0))</f>
        <v>4</v>
      </c>
      <c r="J25" cm="1">
        <f t="array" ref="J25">INDEX(High_Complexity!$A$2:$K$72,MATCH(1,INDEX((Analysis_High!$A25=High_Complexity!$A$2:$A$72)*(Analysis_High!$B25=High_Complexity!$B$2:$B$72),0,1),0),MATCH(Analysis_High!J$23,High_Complexity!$A$2:$K$2,0))</f>
        <v>2</v>
      </c>
      <c r="K25" cm="1">
        <f t="array" ref="K25">INDEX(High_Complexity!$A$2:$M$72,MATCH(1,INDEX((Analysis_High!$A25=High_Complexity!$A$2:$A$72)*(Analysis_High!$B25=High_Complexity!$B$2:$B$72),0,1),0),MATCH(Analysis_High!K$23,High_Complexity!$A$2:$M$2,0))</f>
        <v>10</v>
      </c>
    </row>
    <row r="26" spans="1:11" x14ac:dyDescent="0.25">
      <c r="A26">
        <f t="shared" ref="A26:A37" si="15">A25+1</f>
        <v>3</v>
      </c>
      <c r="B26" t="s">
        <v>16</v>
      </c>
      <c r="C26" cm="1">
        <f t="array" ref="C26">INDEX(High_Complexity!$A$2:$K$72,MATCH(1,INDEX((Analysis_High!$A26=High_Complexity!$A$2:$A$72)*(Analysis_High!$B26=High_Complexity!$B$2:$B$72),0,1),0),MATCH(Analysis_High!C$23,High_Complexity!$A$2:$K$2,0))</f>
        <v>4</v>
      </c>
      <c r="D26" cm="1">
        <f t="array" ref="D26">INDEX(High_Complexity!$A$2:$K$72,MATCH(1,INDEX((Analysis_High!$A26=High_Complexity!$A$2:$A$72)*(Analysis_High!$B26=High_Complexity!$B$2:$B$72),0,1),0),MATCH(Analysis_High!D$23,High_Complexity!$A$2:$K$2,0))</f>
        <v>2</v>
      </c>
      <c r="E26" cm="1">
        <f t="array" ref="E26">INDEX(High_Complexity!$A$2:$K$72,MATCH(1,INDEX((Analysis_High!$A26=High_Complexity!$A$2:$A$72)*(Analysis_High!$B26=High_Complexity!$B$2:$B$72),0,1),0),MATCH(Analysis_High!E$23,High_Complexity!$A$2:$K$2,0))</f>
        <v>1</v>
      </c>
      <c r="F26" cm="1">
        <f t="array" ref="F26">INDEX(High_Complexity!$A$2:$K$72,MATCH(1,INDEX((Analysis_High!$A26=High_Complexity!$A$2:$A$72)*(Analysis_High!$B26=High_Complexity!$B$2:$B$72),0,1),0),MATCH(Analysis_High!F$23,High_Complexity!$A$2:$K$2,0))</f>
        <v>3</v>
      </c>
      <c r="G26" cm="1">
        <f t="array" ref="G26">INDEX(High_Complexity!$A$2:$K$72,MATCH(1,INDEX((Analysis_High!$A26=High_Complexity!$A$2:$A$72)*(Analysis_High!$B26=High_Complexity!$B$2:$B$72),0,1),0),MATCH(Analysis_High!G$23,High_Complexity!$A$2:$K$2,0))</f>
        <v>1</v>
      </c>
      <c r="H26" cm="1">
        <f t="array" ref="H26">INDEX(High_Complexity!$A$2:$K$72,MATCH(1,INDEX((Analysis_High!$A26=High_Complexity!$A$2:$A$72)*(Analysis_High!$B26=High_Complexity!$B$2:$B$72),0,1),0),MATCH(Analysis_High!H$23,High_Complexity!$A$2:$K$2,0))</f>
        <v>2</v>
      </c>
      <c r="I26" cm="1">
        <f t="array" ref="I26">INDEX(High_Complexity!$A$2:$K$72,MATCH(1,INDEX((Analysis_High!$A26=High_Complexity!$A$2:$A$72)*(Analysis_High!$B26=High_Complexity!$B$2:$B$72),0,1),0),MATCH(Analysis_High!I$23,High_Complexity!$A$2:$K$2,0))</f>
        <v>4</v>
      </c>
      <c r="J26" cm="1">
        <f t="array" ref="J26">INDEX(High_Complexity!$A$2:$K$72,MATCH(1,INDEX((Analysis_High!$A26=High_Complexity!$A$2:$A$72)*(Analysis_High!$B26=High_Complexity!$B$2:$B$72),0,1),0),MATCH(Analysis_High!J$23,High_Complexity!$A$2:$K$2,0))</f>
        <v>1</v>
      </c>
      <c r="K26" cm="1">
        <f t="array" ref="K26">INDEX(High_Complexity!$A$2:$M$72,MATCH(1,INDEX((Analysis_High!$A26=High_Complexity!$A$2:$A$72)*(Analysis_High!$B26=High_Complexity!$B$2:$B$72),0,1),0),MATCH(Analysis_High!K$23,High_Complexity!$A$2:$M$2,0))</f>
        <v>20</v>
      </c>
    </row>
    <row r="27" spans="1:11" x14ac:dyDescent="0.25">
      <c r="A27">
        <f t="shared" si="15"/>
        <v>4</v>
      </c>
      <c r="B27" t="s">
        <v>16</v>
      </c>
      <c r="C27" cm="1">
        <f t="array" ref="C27">INDEX(High_Complexity!$A$2:$K$72,MATCH(1,INDEX((Analysis_High!$A27=High_Complexity!$A$2:$A$72)*(Analysis_High!$B27=High_Complexity!$B$2:$B$72),0,1),0),MATCH(Analysis_High!C$23,High_Complexity!$A$2:$K$2,0))</f>
        <v>3</v>
      </c>
      <c r="D27" cm="1">
        <f t="array" ref="D27">INDEX(High_Complexity!$A$2:$K$72,MATCH(1,INDEX((Analysis_High!$A27=High_Complexity!$A$2:$A$72)*(Analysis_High!$B27=High_Complexity!$B$2:$B$72),0,1),0),MATCH(Analysis_High!D$23,High_Complexity!$A$2:$K$2,0))</f>
        <v>3</v>
      </c>
      <c r="E27" cm="1">
        <f t="array" ref="E27">INDEX(High_Complexity!$A$2:$K$72,MATCH(1,INDEX((Analysis_High!$A27=High_Complexity!$A$2:$A$72)*(Analysis_High!$B27=High_Complexity!$B$2:$B$72),0,1),0),MATCH(Analysis_High!E$23,High_Complexity!$A$2:$K$2,0))</f>
        <v>3</v>
      </c>
      <c r="F27" cm="1">
        <f t="array" ref="F27">INDEX(High_Complexity!$A$2:$K$72,MATCH(1,INDEX((Analysis_High!$A27=High_Complexity!$A$2:$A$72)*(Analysis_High!$B27=High_Complexity!$B$2:$B$72),0,1),0),MATCH(Analysis_High!F$23,High_Complexity!$A$2:$K$2,0))</f>
        <v>3</v>
      </c>
      <c r="G27" cm="1">
        <f t="array" ref="G27">INDEX(High_Complexity!$A$2:$K$72,MATCH(1,INDEX((Analysis_High!$A27=High_Complexity!$A$2:$A$72)*(Analysis_High!$B27=High_Complexity!$B$2:$B$72),0,1),0),MATCH(Analysis_High!G$23,High_Complexity!$A$2:$K$2,0))</f>
        <v>3</v>
      </c>
      <c r="H27" cm="1">
        <f t="array" ref="H27">INDEX(High_Complexity!$A$2:$K$72,MATCH(1,INDEX((Analysis_High!$A27=High_Complexity!$A$2:$A$72)*(Analysis_High!$B27=High_Complexity!$B$2:$B$72),0,1),0),MATCH(Analysis_High!H$23,High_Complexity!$A$2:$K$2,0))</f>
        <v>3</v>
      </c>
      <c r="I27" cm="1">
        <f t="array" ref="I27">INDEX(High_Complexity!$A$2:$K$72,MATCH(1,INDEX((Analysis_High!$A27=High_Complexity!$A$2:$A$72)*(Analysis_High!$B27=High_Complexity!$B$2:$B$72),0,1),0),MATCH(Analysis_High!I$23,High_Complexity!$A$2:$K$2,0))</f>
        <v>1</v>
      </c>
      <c r="J27" cm="1">
        <f t="array" ref="J27">INDEX(High_Complexity!$A$2:$K$72,MATCH(1,INDEX((Analysis_High!$A27=High_Complexity!$A$2:$A$72)*(Analysis_High!$B27=High_Complexity!$B$2:$B$72),0,1),0),MATCH(Analysis_High!J$23,High_Complexity!$A$2:$K$2,0))</f>
        <v>2</v>
      </c>
      <c r="K27" cm="1">
        <f t="array" ref="K27">INDEX(High_Complexity!$A$2:$M$72,MATCH(1,INDEX((Analysis_High!$A27=High_Complexity!$A$2:$A$72)*(Analysis_High!$B27=High_Complexity!$B$2:$B$72),0,1),0),MATCH(Analysis_High!K$23,High_Complexity!$A$2:$M$2,0))</f>
        <v>10</v>
      </c>
    </row>
    <row r="28" spans="1:11" x14ac:dyDescent="0.25">
      <c r="A28">
        <f t="shared" si="15"/>
        <v>5</v>
      </c>
      <c r="B28" t="s">
        <v>16</v>
      </c>
      <c r="C28" cm="1">
        <f t="array" ref="C28">INDEX(High_Complexity!$A$2:$K$72,MATCH(1,INDEX((Analysis_High!$A28=High_Complexity!$A$2:$A$72)*(Analysis_High!$B28=High_Complexity!$B$2:$B$72),0,1),0),MATCH(Analysis_High!C$23,High_Complexity!$A$2:$K$2,0))</f>
        <v>4</v>
      </c>
      <c r="D28" cm="1">
        <f t="array" ref="D28">INDEX(High_Complexity!$A$2:$K$72,MATCH(1,INDEX((Analysis_High!$A28=High_Complexity!$A$2:$A$72)*(Analysis_High!$B28=High_Complexity!$B$2:$B$72),0,1),0),MATCH(Analysis_High!D$23,High_Complexity!$A$2:$K$2,0))</f>
        <v>3</v>
      </c>
      <c r="E28" cm="1">
        <f t="array" ref="E28">INDEX(High_Complexity!$A$2:$K$72,MATCH(1,INDEX((Analysis_High!$A28=High_Complexity!$A$2:$A$72)*(Analysis_High!$B28=High_Complexity!$B$2:$B$72),0,1),0),MATCH(Analysis_High!E$23,High_Complexity!$A$2:$K$2,0))</f>
        <v>2</v>
      </c>
      <c r="F28" cm="1">
        <f t="array" ref="F28">INDEX(High_Complexity!$A$2:$K$72,MATCH(1,INDEX((Analysis_High!$A28=High_Complexity!$A$2:$A$72)*(Analysis_High!$B28=High_Complexity!$B$2:$B$72),0,1),0),MATCH(Analysis_High!F$23,High_Complexity!$A$2:$K$2,0))</f>
        <v>4</v>
      </c>
      <c r="G28" cm="1">
        <f t="array" ref="G28">INDEX(High_Complexity!$A$2:$K$72,MATCH(1,INDEX((Analysis_High!$A28=High_Complexity!$A$2:$A$72)*(Analysis_High!$B28=High_Complexity!$B$2:$B$72),0,1),0),MATCH(Analysis_High!G$23,High_Complexity!$A$2:$K$2,0))</f>
        <v>2</v>
      </c>
      <c r="H28" cm="1">
        <f t="array" ref="H28">INDEX(High_Complexity!$A$2:$K$72,MATCH(1,INDEX((Analysis_High!$A28=High_Complexity!$A$2:$A$72)*(Analysis_High!$B28=High_Complexity!$B$2:$B$72),0,1),0),MATCH(Analysis_High!H$23,High_Complexity!$A$2:$K$2,0))</f>
        <v>1</v>
      </c>
      <c r="I28" cm="1">
        <f t="array" ref="I28">INDEX(High_Complexity!$A$2:$K$72,MATCH(1,INDEX((Analysis_High!$A28=High_Complexity!$A$2:$A$72)*(Analysis_High!$B28=High_Complexity!$B$2:$B$72),0,1),0),MATCH(Analysis_High!I$23,High_Complexity!$A$2:$K$2,0))</f>
        <v>3</v>
      </c>
      <c r="J28" cm="1">
        <f t="array" ref="J28">INDEX(High_Complexity!$A$2:$K$72,MATCH(1,INDEX((Analysis_High!$A28=High_Complexity!$A$2:$A$72)*(Analysis_High!$B28=High_Complexity!$B$2:$B$72),0,1),0),MATCH(Analysis_High!J$23,High_Complexity!$A$2:$K$2,0))</f>
        <v>2</v>
      </c>
      <c r="K28" cm="1">
        <f t="array" ref="K28">INDEX(High_Complexity!$A$2:$M$72,MATCH(1,INDEX((Analysis_High!$A28=High_Complexity!$A$2:$A$72)*(Analysis_High!$B28=High_Complexity!$B$2:$B$72),0,1),0),MATCH(Analysis_High!K$23,High_Complexity!$A$2:$M$2,0))</f>
        <v>25</v>
      </c>
    </row>
    <row r="29" spans="1:11" x14ac:dyDescent="0.25">
      <c r="A29">
        <f t="shared" si="15"/>
        <v>6</v>
      </c>
      <c r="B29" t="s">
        <v>16</v>
      </c>
      <c r="C29" cm="1">
        <f t="array" ref="C29">INDEX(High_Complexity!$A$2:$K$72,MATCH(1,INDEX((Analysis_High!$A29=High_Complexity!$A$2:$A$72)*(Analysis_High!$B29=High_Complexity!$B$2:$B$72),0,1),0),MATCH(Analysis_High!C$23,High_Complexity!$A$2:$K$2,0))</f>
        <v>5</v>
      </c>
      <c r="D29" cm="1">
        <f t="array" ref="D29">INDEX(High_Complexity!$A$2:$K$72,MATCH(1,INDEX((Analysis_High!$A29=High_Complexity!$A$2:$A$72)*(Analysis_High!$B29=High_Complexity!$B$2:$B$72),0,1),0),MATCH(Analysis_High!D$23,High_Complexity!$A$2:$K$2,0))</f>
        <v>1</v>
      </c>
      <c r="E29" cm="1">
        <f t="array" ref="E29">INDEX(High_Complexity!$A$2:$K$72,MATCH(1,INDEX((Analysis_High!$A29=High_Complexity!$A$2:$A$72)*(Analysis_High!$B29=High_Complexity!$B$2:$B$72),0,1),0),MATCH(Analysis_High!E$23,High_Complexity!$A$2:$K$2,0))</f>
        <v>2</v>
      </c>
      <c r="F29" cm="1">
        <f t="array" ref="F29">INDEX(High_Complexity!$A$2:$K$72,MATCH(1,INDEX((Analysis_High!$A29=High_Complexity!$A$2:$A$72)*(Analysis_High!$B29=High_Complexity!$B$2:$B$72),0,1),0),MATCH(Analysis_High!F$23,High_Complexity!$A$2:$K$2,0))</f>
        <v>1</v>
      </c>
      <c r="G29" cm="1">
        <f t="array" ref="G29">INDEX(High_Complexity!$A$2:$K$72,MATCH(1,INDEX((Analysis_High!$A29=High_Complexity!$A$2:$A$72)*(Analysis_High!$B29=High_Complexity!$B$2:$B$72),0,1),0),MATCH(Analysis_High!G$23,High_Complexity!$A$2:$K$2,0))</f>
        <v>1</v>
      </c>
      <c r="H29" cm="1">
        <f t="array" ref="H29">INDEX(High_Complexity!$A$2:$K$72,MATCH(1,INDEX((Analysis_High!$A29=High_Complexity!$A$2:$A$72)*(Analysis_High!$B29=High_Complexity!$B$2:$B$72),0,1),0),MATCH(Analysis_High!H$23,High_Complexity!$A$2:$K$2,0))</f>
        <v>1</v>
      </c>
      <c r="I29" cm="1">
        <f t="array" ref="I29">INDEX(High_Complexity!$A$2:$K$72,MATCH(1,INDEX((Analysis_High!$A29=High_Complexity!$A$2:$A$72)*(Analysis_High!$B29=High_Complexity!$B$2:$B$72),0,1),0),MATCH(Analysis_High!I$23,High_Complexity!$A$2:$K$2,0))</f>
        <v>3</v>
      </c>
      <c r="J29" cm="1">
        <f t="array" ref="J29">INDEX(High_Complexity!$A$2:$K$72,MATCH(1,INDEX((Analysis_High!$A29=High_Complexity!$A$2:$A$72)*(Analysis_High!$B29=High_Complexity!$B$2:$B$72),0,1),0),MATCH(Analysis_High!J$23,High_Complexity!$A$2:$K$2,0))</f>
        <v>2</v>
      </c>
      <c r="K29" cm="1">
        <f t="array" ref="K29">INDEX(High_Complexity!$A$2:$M$72,MATCH(1,INDEX((Analysis_High!$A29=High_Complexity!$A$2:$A$72)*(Analysis_High!$B29=High_Complexity!$B$2:$B$72),0,1),0),MATCH(Analysis_High!K$23,High_Complexity!$A$2:$M$2,0))</f>
        <v>20</v>
      </c>
    </row>
    <row r="30" spans="1:11" x14ac:dyDescent="0.25">
      <c r="A30">
        <f t="shared" si="15"/>
        <v>7</v>
      </c>
      <c r="B30" t="s">
        <v>16</v>
      </c>
    </row>
    <row r="31" spans="1:11" x14ac:dyDescent="0.25">
      <c r="A31">
        <f t="shared" si="15"/>
        <v>8</v>
      </c>
      <c r="B31" t="s">
        <v>16</v>
      </c>
    </row>
    <row r="32" spans="1:11" x14ac:dyDescent="0.25">
      <c r="A32">
        <f t="shared" si="15"/>
        <v>9</v>
      </c>
      <c r="B32" t="s">
        <v>16</v>
      </c>
    </row>
    <row r="33" spans="1:11" x14ac:dyDescent="0.25">
      <c r="A33">
        <f t="shared" si="15"/>
        <v>10</v>
      </c>
      <c r="B33" t="s">
        <v>16</v>
      </c>
    </row>
    <row r="34" spans="1:11" x14ac:dyDescent="0.25">
      <c r="A34">
        <f t="shared" si="15"/>
        <v>11</v>
      </c>
      <c r="B34" t="s">
        <v>16</v>
      </c>
    </row>
    <row r="35" spans="1:11" x14ac:dyDescent="0.25">
      <c r="A35">
        <f t="shared" si="15"/>
        <v>12</v>
      </c>
      <c r="B35" t="s">
        <v>16</v>
      </c>
    </row>
    <row r="36" spans="1:11" x14ac:dyDescent="0.25">
      <c r="A36">
        <f t="shared" si="15"/>
        <v>13</v>
      </c>
      <c r="B36" t="s">
        <v>16</v>
      </c>
    </row>
    <row r="37" spans="1:11" x14ac:dyDescent="0.25">
      <c r="A37">
        <f t="shared" si="15"/>
        <v>14</v>
      </c>
      <c r="B37" t="s">
        <v>16</v>
      </c>
    </row>
    <row r="38" spans="1:11" x14ac:dyDescent="0.25">
      <c r="A38" s="2" t="s">
        <v>23</v>
      </c>
      <c r="B38" s="2"/>
      <c r="C38" s="2">
        <f>AVERAGE(C24:C37)</f>
        <v>3.6666666666666665</v>
      </c>
      <c r="D38" s="2">
        <f t="shared" ref="D38:K38" si="16">AVERAGE(D24:D37)</f>
        <v>2.3333333333333335</v>
      </c>
      <c r="E38" s="2">
        <f t="shared" si="16"/>
        <v>2.3333333333333335</v>
      </c>
      <c r="F38" s="2">
        <f t="shared" si="16"/>
        <v>3.3333333333333335</v>
      </c>
      <c r="G38" s="2">
        <f t="shared" si="16"/>
        <v>2.1666666666666665</v>
      </c>
      <c r="H38" s="2">
        <f t="shared" si="16"/>
        <v>2.8333333333333335</v>
      </c>
      <c r="I38" s="2">
        <f t="shared" si="16"/>
        <v>3</v>
      </c>
      <c r="J38" s="2">
        <f t="shared" si="16"/>
        <v>2</v>
      </c>
      <c r="K38" s="2">
        <f t="shared" si="16"/>
        <v>19.166666666666668</v>
      </c>
    </row>
    <row r="39" spans="1:11" x14ac:dyDescent="0.25">
      <c r="A39" t="s">
        <v>24</v>
      </c>
      <c r="C39">
        <f>MEDIAN(C24:C37)</f>
        <v>4</v>
      </c>
      <c r="D39">
        <f t="shared" ref="D39:K39" si="17">MEDIAN(D24:D37)</f>
        <v>2.5</v>
      </c>
      <c r="E39">
        <f t="shared" si="17"/>
        <v>2</v>
      </c>
      <c r="F39">
        <f t="shared" si="17"/>
        <v>3.5</v>
      </c>
      <c r="G39">
        <f t="shared" si="17"/>
        <v>2</v>
      </c>
      <c r="H39">
        <f t="shared" si="17"/>
        <v>2.5</v>
      </c>
      <c r="I39">
        <f t="shared" si="17"/>
        <v>3</v>
      </c>
      <c r="J39">
        <f t="shared" si="17"/>
        <v>2</v>
      </c>
      <c r="K39">
        <f t="shared" si="17"/>
        <v>20</v>
      </c>
    </row>
    <row r="42" spans="1:11" x14ac:dyDescent="0.25">
      <c r="A42" s="1" t="s">
        <v>22</v>
      </c>
      <c r="B42" s="1" t="s">
        <v>0</v>
      </c>
      <c r="C42" s="1" t="s">
        <v>1</v>
      </c>
      <c r="D42" s="1" t="s">
        <v>37</v>
      </c>
      <c r="E42" s="1" t="s">
        <v>3</v>
      </c>
      <c r="F42" s="1" t="s">
        <v>38</v>
      </c>
      <c r="G42" s="1" t="s">
        <v>5</v>
      </c>
      <c r="H42" s="1" t="s">
        <v>41</v>
      </c>
      <c r="I42" s="1" t="s">
        <v>42</v>
      </c>
      <c r="J42" s="13" t="s">
        <v>39</v>
      </c>
      <c r="K42" s="1" t="s">
        <v>10</v>
      </c>
    </row>
    <row r="43" spans="1:11" x14ac:dyDescent="0.25">
      <c r="A43">
        <v>1</v>
      </c>
      <c r="B43" t="s">
        <v>12</v>
      </c>
      <c r="C43" cm="1">
        <f t="array" ref="C43">INDEX(High_Complexity!$A$2:$K$72,MATCH(1,INDEX((Analysis_High!$A43=High_Complexity!$A$2:$A$72)*(Analysis_High!$B43=High_Complexity!$B$2:$B$72),0,1),0),MATCH(Analysis_High!C$42,High_Complexity!$A$2:$K$2,0))</f>
        <v>3</v>
      </c>
      <c r="D43" cm="1">
        <f t="array" ref="D43">INDEX(High_Complexity!$A$2:$K$72,MATCH(1,INDEX((Analysis_High!$A43=High_Complexity!$A$2:$A$72)*(Analysis_High!$B43=High_Complexity!$B$2:$B$72),0,1),0),MATCH(Analysis_High!D$42,High_Complexity!$A$2:$K$2,0))</f>
        <v>5</v>
      </c>
      <c r="E43" cm="1">
        <f t="array" ref="E43">INDEX(High_Complexity!$A$2:$K$72,MATCH(1,INDEX((Analysis_High!$A43=High_Complexity!$A$2:$A$72)*(Analysis_High!$B43=High_Complexity!$B$2:$B$72),0,1),0),MATCH(Analysis_High!E$42,High_Complexity!$A$2:$K$2,0))</f>
        <v>3</v>
      </c>
      <c r="F43" cm="1">
        <f t="array" ref="F43">INDEX(High_Complexity!$A$2:$K$72,MATCH(1,INDEX((Analysis_High!$A43=High_Complexity!$A$2:$A$72)*(Analysis_High!$B43=High_Complexity!$B$2:$B$72),0,1),0),MATCH(Analysis_High!F$42,High_Complexity!$A$2:$K$2,0))</f>
        <v>4</v>
      </c>
      <c r="G43" cm="1">
        <f t="array" ref="G43">INDEX(High_Complexity!$A$2:$K$72,MATCH(1,INDEX((Analysis_High!$A43=High_Complexity!$A$2:$A$72)*(Analysis_High!$B43=High_Complexity!$B$2:$B$72),0,1),0),MATCH(Analysis_High!G$42,High_Complexity!$A$2:$K$2,0))</f>
        <v>5</v>
      </c>
      <c r="H43" cm="1">
        <f t="array" ref="H43">INDEX(High_Complexity!$A$2:$K$72,MATCH(1,INDEX((Analysis_High!$A43=High_Complexity!$A$2:$A$72)*(Analysis_High!$B43=High_Complexity!$B$2:$B$72),0,1),0),MATCH(Analysis_High!H$42,High_Complexity!$A$2:$K$2,0))</f>
        <v>1</v>
      </c>
      <c r="I43" cm="1">
        <f t="array" ref="I43">INDEX(High_Complexity!$A$2:$K$72,MATCH(1,INDEX((Analysis_High!$A43=High_Complexity!$A$2:$A$72)*(Analysis_High!$B43=High_Complexity!$B$2:$B$72),0,1),0),MATCH(Analysis_High!I$42,High_Complexity!$A$2:$K$2,0))</f>
        <v>3</v>
      </c>
      <c r="J43" cm="1">
        <f t="array" ref="J43">INDEX(High_Complexity!$A$2:$K$72,MATCH(1,INDEX((Analysis_High!$A43=High_Complexity!$A$2:$A$72)*(Analysis_High!$B43=High_Complexity!$B$2:$B$72),0,1),0),MATCH(Analysis_High!J$42,High_Complexity!$A$2:$K$2,0))</f>
        <v>4</v>
      </c>
      <c r="K43" cm="1">
        <f t="array" ref="K43">INDEX(High_Complexity!$A$2:$M$72,MATCH(1,INDEX((Analysis_High!$A43=High_Complexity!$A$2:$A$72)*(Analysis_High!$B43=High_Complexity!$B$2:$B$72),0,1),0),MATCH(Analysis_High!K$23,High_Complexity!$A$2:$M$2,0))</f>
        <v>20</v>
      </c>
    </row>
    <row r="44" spans="1:11" x14ac:dyDescent="0.25">
      <c r="A44">
        <f>A43+1</f>
        <v>2</v>
      </c>
      <c r="B44" t="s">
        <v>12</v>
      </c>
      <c r="C44" cm="1">
        <f t="array" ref="C44">INDEX(High_Complexity!$A$2:$K$72,MATCH(1,INDEX((Analysis_High!$A44=High_Complexity!$A$2:$A$72)*(Analysis_High!$B44=High_Complexity!$B$2:$B$72),0,1),0),MATCH(Analysis_High!C$42,High_Complexity!$A$2:$K$2,0))</f>
        <v>3</v>
      </c>
      <c r="D44" cm="1">
        <f t="array" ref="D44">INDEX(High_Complexity!$A$2:$K$72,MATCH(1,INDEX((Analysis_High!$A44=High_Complexity!$A$2:$A$72)*(Analysis_High!$B44=High_Complexity!$B$2:$B$72),0,1),0),MATCH(Analysis_High!D$42,High_Complexity!$A$2:$K$2,0))</f>
        <v>4</v>
      </c>
      <c r="E44" cm="1">
        <f t="array" ref="E44">INDEX(High_Complexity!$A$2:$K$72,MATCH(1,INDEX((Analysis_High!$A44=High_Complexity!$A$2:$A$72)*(Analysis_High!$B44=High_Complexity!$B$2:$B$72),0,1),0),MATCH(Analysis_High!E$42,High_Complexity!$A$2:$K$2,0))</f>
        <v>2</v>
      </c>
      <c r="F44" cm="1">
        <f t="array" ref="F44">INDEX(High_Complexity!$A$2:$K$72,MATCH(1,INDEX((Analysis_High!$A44=High_Complexity!$A$2:$A$72)*(Analysis_High!$B44=High_Complexity!$B$2:$B$72),0,1),0),MATCH(Analysis_High!F$42,High_Complexity!$A$2:$K$2,0))</f>
        <v>5</v>
      </c>
      <c r="G44" cm="1">
        <f t="array" ref="G44">INDEX(High_Complexity!$A$2:$K$72,MATCH(1,INDEX((Analysis_High!$A44=High_Complexity!$A$2:$A$72)*(Analysis_High!$B44=High_Complexity!$B$2:$B$72),0,1),0),MATCH(Analysis_High!G$42,High_Complexity!$A$2:$K$2,0))</f>
        <v>4</v>
      </c>
      <c r="H44" cm="1">
        <f t="array" ref="H44">INDEX(High_Complexity!$A$2:$K$72,MATCH(1,INDEX((Analysis_High!$A44=High_Complexity!$A$2:$A$72)*(Analysis_High!$B44=High_Complexity!$B$2:$B$72),0,1),0),MATCH(Analysis_High!H$42,High_Complexity!$A$2:$K$2,0))</f>
        <v>5</v>
      </c>
      <c r="I44" cm="1">
        <f t="array" ref="I44">INDEX(High_Complexity!$A$2:$K$72,MATCH(1,INDEX((Analysis_High!$A44=High_Complexity!$A$2:$A$72)*(Analysis_High!$B44=High_Complexity!$B$2:$B$72),0,1),0),MATCH(Analysis_High!I$42,High_Complexity!$A$2:$K$2,0))</f>
        <v>2</v>
      </c>
      <c r="J44" cm="1">
        <f t="array" ref="J44">INDEX(High_Complexity!$A$2:$K$72,MATCH(1,INDEX((Analysis_High!$A44=High_Complexity!$A$2:$A$72)*(Analysis_High!$B44=High_Complexity!$B$2:$B$72),0,1),0),MATCH(Analysis_High!J$42,High_Complexity!$A$2:$K$2,0))</f>
        <v>4</v>
      </c>
      <c r="K44" cm="1">
        <f t="array" ref="K44">INDEX(High_Complexity!$A$2:$M$72,MATCH(1,INDEX((Analysis_High!$A44=High_Complexity!$A$2:$A$72)*(Analysis_High!$B44=High_Complexity!$B$2:$B$72),0,1),0),MATCH(Analysis_High!K$23,High_Complexity!$A$2:$M$2,0))</f>
        <v>50</v>
      </c>
    </row>
    <row r="45" spans="1:11" x14ac:dyDescent="0.25">
      <c r="A45">
        <f t="shared" ref="A45:A56" si="18">A44+1</f>
        <v>3</v>
      </c>
      <c r="B45" t="s">
        <v>12</v>
      </c>
      <c r="C45" cm="1">
        <f t="array" ref="C45">INDEX(High_Complexity!$A$2:$K$72,MATCH(1,INDEX((Analysis_High!$A45=High_Complexity!$A$2:$A$72)*(Analysis_High!$B45=High_Complexity!$B$2:$B$72),0,1),0),MATCH(Analysis_High!C$42,High_Complexity!$A$2:$K$2,0))</f>
        <v>4</v>
      </c>
      <c r="D45" cm="1">
        <f t="array" ref="D45">INDEX(High_Complexity!$A$2:$K$72,MATCH(1,INDEX((Analysis_High!$A45=High_Complexity!$A$2:$A$72)*(Analysis_High!$B45=High_Complexity!$B$2:$B$72),0,1),0),MATCH(Analysis_High!D$42,High_Complexity!$A$2:$K$2,0))</f>
        <v>4</v>
      </c>
      <c r="E45" cm="1">
        <f t="array" ref="E45">INDEX(High_Complexity!$A$2:$K$72,MATCH(1,INDEX((Analysis_High!$A45=High_Complexity!$A$2:$A$72)*(Analysis_High!$B45=High_Complexity!$B$2:$B$72),0,1),0),MATCH(Analysis_High!E$42,High_Complexity!$A$2:$K$2,0))</f>
        <v>2</v>
      </c>
      <c r="F45" cm="1">
        <f t="array" ref="F45">INDEX(High_Complexity!$A$2:$K$72,MATCH(1,INDEX((Analysis_High!$A45=High_Complexity!$A$2:$A$72)*(Analysis_High!$B45=High_Complexity!$B$2:$B$72),0,1),0),MATCH(Analysis_High!F$42,High_Complexity!$A$2:$K$2,0))</f>
        <v>4</v>
      </c>
      <c r="G45" cm="1">
        <f t="array" ref="G45">INDEX(High_Complexity!$A$2:$K$72,MATCH(1,INDEX((Analysis_High!$A45=High_Complexity!$A$2:$A$72)*(Analysis_High!$B45=High_Complexity!$B$2:$B$72),0,1),0),MATCH(Analysis_High!G$42,High_Complexity!$A$2:$K$2,0))</f>
        <v>2</v>
      </c>
      <c r="H45" cm="1">
        <f t="array" ref="H45">INDEX(High_Complexity!$A$2:$K$72,MATCH(1,INDEX((Analysis_High!$A45=High_Complexity!$A$2:$A$72)*(Analysis_High!$B45=High_Complexity!$B$2:$B$72),0,1),0),MATCH(Analysis_High!H$42,High_Complexity!$A$2:$K$2,0))</f>
        <v>4</v>
      </c>
      <c r="I45" cm="1">
        <f t="array" ref="I45">INDEX(High_Complexity!$A$2:$K$72,MATCH(1,INDEX((Analysis_High!$A45=High_Complexity!$A$2:$A$72)*(Analysis_High!$B45=High_Complexity!$B$2:$B$72),0,1),0),MATCH(Analysis_High!I$42,High_Complexity!$A$2:$K$2,0))</f>
        <v>1</v>
      </c>
      <c r="J45" cm="1">
        <f t="array" ref="J45">INDEX(High_Complexity!$A$2:$K$72,MATCH(1,INDEX((Analysis_High!$A45=High_Complexity!$A$2:$A$72)*(Analysis_High!$B45=High_Complexity!$B$2:$B$72),0,1),0),MATCH(Analysis_High!J$42,High_Complexity!$A$2:$K$2,0))</f>
        <v>2</v>
      </c>
      <c r="K45" cm="1">
        <f t="array" ref="K45">INDEX(High_Complexity!$A$2:$M$72,MATCH(1,INDEX((Analysis_High!$A45=High_Complexity!$A$2:$A$72)*(Analysis_High!$B45=High_Complexity!$B$2:$B$72),0,1),0),MATCH(Analysis_High!K$23,High_Complexity!$A$2:$M$2,0))</f>
        <v>20</v>
      </c>
    </row>
    <row r="46" spans="1:11" x14ac:dyDescent="0.25">
      <c r="A46">
        <f t="shared" si="18"/>
        <v>4</v>
      </c>
      <c r="B46" t="s">
        <v>12</v>
      </c>
      <c r="C46" cm="1">
        <f t="array" ref="C46">INDEX(High_Complexity!$A$2:$K$72,MATCH(1,INDEX((Analysis_High!$A46=High_Complexity!$A$2:$A$72)*(Analysis_High!$B46=High_Complexity!$B$2:$B$72),0,1),0),MATCH(Analysis_High!C$42,High_Complexity!$A$2:$K$2,0))</f>
        <v>2</v>
      </c>
      <c r="D46" cm="1">
        <f t="array" ref="D46">INDEX(High_Complexity!$A$2:$K$72,MATCH(1,INDEX((Analysis_High!$A46=High_Complexity!$A$2:$A$72)*(Analysis_High!$B46=High_Complexity!$B$2:$B$72),0,1),0),MATCH(Analysis_High!D$42,High_Complexity!$A$2:$K$2,0))</f>
        <v>3</v>
      </c>
      <c r="E46" cm="1">
        <f t="array" ref="E46">INDEX(High_Complexity!$A$2:$K$72,MATCH(1,INDEX((Analysis_High!$A46=High_Complexity!$A$2:$A$72)*(Analysis_High!$B46=High_Complexity!$B$2:$B$72),0,1),0),MATCH(Analysis_High!E$42,High_Complexity!$A$2:$K$2,0))</f>
        <v>3</v>
      </c>
      <c r="F46" cm="1">
        <f t="array" ref="F46">INDEX(High_Complexity!$A$2:$K$72,MATCH(1,INDEX((Analysis_High!$A46=High_Complexity!$A$2:$A$72)*(Analysis_High!$B46=High_Complexity!$B$2:$B$72),0,1),0),MATCH(Analysis_High!F$42,High_Complexity!$A$2:$K$2,0))</f>
        <v>3</v>
      </c>
      <c r="G46" cm="1">
        <f t="array" ref="G46">INDEX(High_Complexity!$A$2:$K$72,MATCH(1,INDEX((Analysis_High!$A46=High_Complexity!$A$2:$A$72)*(Analysis_High!$B46=High_Complexity!$B$2:$B$72),0,1),0),MATCH(Analysis_High!G$42,High_Complexity!$A$2:$K$2,0))</f>
        <v>3</v>
      </c>
      <c r="H46" cm="1">
        <f t="array" ref="H46">INDEX(High_Complexity!$A$2:$K$72,MATCH(1,INDEX((Analysis_High!$A46=High_Complexity!$A$2:$A$72)*(Analysis_High!$B46=High_Complexity!$B$2:$B$72),0,1),0),MATCH(Analysis_High!H$42,High_Complexity!$A$2:$K$2,0))</f>
        <v>2</v>
      </c>
      <c r="I46" cm="1">
        <f t="array" ref="I46">INDEX(High_Complexity!$A$2:$K$72,MATCH(1,INDEX((Analysis_High!$A46=High_Complexity!$A$2:$A$72)*(Analysis_High!$B46=High_Complexity!$B$2:$B$72),0,1),0),MATCH(Analysis_High!I$42,High_Complexity!$A$2:$K$2,0))</f>
        <v>2</v>
      </c>
      <c r="J46" cm="1">
        <f t="array" ref="J46">INDEX(High_Complexity!$A$2:$K$72,MATCH(1,INDEX((Analysis_High!$A46=High_Complexity!$A$2:$A$72)*(Analysis_High!$B46=High_Complexity!$B$2:$B$72),0,1),0),MATCH(Analysis_High!J$42,High_Complexity!$A$2:$K$2,0))</f>
        <v>2</v>
      </c>
      <c r="K46" cm="1">
        <f t="array" ref="K46">INDEX(High_Complexity!$A$2:$M$72,MATCH(1,INDEX((Analysis_High!$A46=High_Complexity!$A$2:$A$72)*(Analysis_High!$B46=High_Complexity!$B$2:$B$72),0,1),0),MATCH(Analysis_High!K$23,High_Complexity!$A$2:$M$2,0))</f>
        <v>35</v>
      </c>
    </row>
    <row r="47" spans="1:11" x14ac:dyDescent="0.25">
      <c r="A47">
        <f t="shared" si="18"/>
        <v>5</v>
      </c>
      <c r="B47" t="s">
        <v>12</v>
      </c>
      <c r="C47" cm="1">
        <f t="array" ref="C47">INDEX(High_Complexity!$A$2:$K$72,MATCH(1,INDEX((Analysis_High!$A47=High_Complexity!$A$2:$A$72)*(Analysis_High!$B47=High_Complexity!$B$2:$B$72),0,1),0),MATCH(Analysis_High!C$42,High_Complexity!$A$2:$K$2,0))</f>
        <v>2</v>
      </c>
      <c r="D47" cm="1">
        <f t="array" ref="D47">INDEX(High_Complexity!$A$2:$K$72,MATCH(1,INDEX((Analysis_High!$A47=High_Complexity!$A$2:$A$72)*(Analysis_High!$B47=High_Complexity!$B$2:$B$72),0,1),0),MATCH(Analysis_High!D$42,High_Complexity!$A$2:$K$2,0))</f>
        <v>3</v>
      </c>
      <c r="E47" cm="1">
        <f t="array" ref="E47">INDEX(High_Complexity!$A$2:$K$72,MATCH(1,INDEX((Analysis_High!$A47=High_Complexity!$A$2:$A$72)*(Analysis_High!$B47=High_Complexity!$B$2:$B$72),0,1),0),MATCH(Analysis_High!E$42,High_Complexity!$A$2:$K$2,0))</f>
        <v>1</v>
      </c>
      <c r="F47" cm="1">
        <f t="array" ref="F47">INDEX(High_Complexity!$A$2:$K$72,MATCH(1,INDEX((Analysis_High!$A47=High_Complexity!$A$2:$A$72)*(Analysis_High!$B47=High_Complexity!$B$2:$B$72),0,1),0),MATCH(Analysis_High!F$42,High_Complexity!$A$2:$K$2,0))</f>
        <v>3</v>
      </c>
      <c r="G47" cm="1">
        <f t="array" ref="G47">INDEX(High_Complexity!$A$2:$K$72,MATCH(1,INDEX((Analysis_High!$A47=High_Complexity!$A$2:$A$72)*(Analysis_High!$B47=High_Complexity!$B$2:$B$72),0,1),0),MATCH(Analysis_High!G$42,High_Complexity!$A$2:$K$2,0))</f>
        <v>4</v>
      </c>
      <c r="H47" cm="1">
        <f t="array" ref="H47">INDEX(High_Complexity!$A$2:$K$72,MATCH(1,INDEX((Analysis_High!$A47=High_Complexity!$A$2:$A$72)*(Analysis_High!$B47=High_Complexity!$B$2:$B$72),0,1),0),MATCH(Analysis_High!H$42,High_Complexity!$A$2:$K$2,0))</f>
        <v>5</v>
      </c>
      <c r="I47" cm="1">
        <f t="array" ref="I47">INDEX(High_Complexity!$A$2:$K$72,MATCH(1,INDEX((Analysis_High!$A47=High_Complexity!$A$2:$A$72)*(Analysis_High!$B47=High_Complexity!$B$2:$B$72),0,1),0),MATCH(Analysis_High!I$42,High_Complexity!$A$2:$K$2,0))</f>
        <v>2</v>
      </c>
      <c r="J47" cm="1">
        <f t="array" ref="J47">INDEX(High_Complexity!$A$2:$K$72,MATCH(1,INDEX((Analysis_High!$A47=High_Complexity!$A$2:$A$72)*(Analysis_High!$B47=High_Complexity!$B$2:$B$72),0,1),0),MATCH(Analysis_High!J$42,High_Complexity!$A$2:$K$2,0))</f>
        <v>3</v>
      </c>
      <c r="K47" cm="1">
        <f t="array" ref="K47">INDEX(High_Complexity!$A$2:$M$72,MATCH(1,INDEX((Analysis_High!$A47=High_Complexity!$A$2:$A$72)*(Analysis_High!$B47=High_Complexity!$B$2:$B$72),0,1),0),MATCH(Analysis_High!K$23,High_Complexity!$A$2:$M$2,0))</f>
        <v>15</v>
      </c>
    </row>
    <row r="48" spans="1:11" x14ac:dyDescent="0.25">
      <c r="A48">
        <f t="shared" si="18"/>
        <v>6</v>
      </c>
      <c r="B48" t="s">
        <v>12</v>
      </c>
      <c r="C48" cm="1">
        <f t="array" ref="C48">INDEX(High_Complexity!$A$2:$K$72,MATCH(1,INDEX((Analysis_High!$A48=High_Complexity!$A$2:$A$72)*(Analysis_High!$B48=High_Complexity!$B$2:$B$72),0,1),0),MATCH(Analysis_High!C$42,High_Complexity!$A$2:$K$2,0))</f>
        <v>3</v>
      </c>
      <c r="D48" cm="1">
        <f t="array" ref="D48">INDEX(High_Complexity!$A$2:$K$72,MATCH(1,INDEX((Analysis_High!$A48=High_Complexity!$A$2:$A$72)*(Analysis_High!$B48=High_Complexity!$B$2:$B$72),0,1),0),MATCH(Analysis_High!D$42,High_Complexity!$A$2:$K$2,0))</f>
        <v>5</v>
      </c>
      <c r="E48" cm="1">
        <f t="array" ref="E48">INDEX(High_Complexity!$A$2:$K$72,MATCH(1,INDEX((Analysis_High!$A48=High_Complexity!$A$2:$A$72)*(Analysis_High!$B48=High_Complexity!$B$2:$B$72),0,1),0),MATCH(Analysis_High!E$42,High_Complexity!$A$2:$K$2,0))</f>
        <v>2</v>
      </c>
      <c r="F48" cm="1">
        <f t="array" ref="F48">INDEX(High_Complexity!$A$2:$K$72,MATCH(1,INDEX((Analysis_High!$A48=High_Complexity!$A$2:$A$72)*(Analysis_High!$B48=High_Complexity!$B$2:$B$72),0,1),0),MATCH(Analysis_High!F$42,High_Complexity!$A$2:$K$2,0))</f>
        <v>5</v>
      </c>
      <c r="G48" cm="1">
        <f t="array" ref="G48">INDEX(High_Complexity!$A$2:$K$72,MATCH(1,INDEX((Analysis_High!$A48=High_Complexity!$A$2:$A$72)*(Analysis_High!$B48=High_Complexity!$B$2:$B$72),0,1),0),MATCH(Analysis_High!G$42,High_Complexity!$A$2:$K$2,0))</f>
        <v>5</v>
      </c>
      <c r="H48" cm="1">
        <f t="array" ref="H48">INDEX(High_Complexity!$A$2:$K$72,MATCH(1,INDEX((Analysis_High!$A48=High_Complexity!$A$2:$A$72)*(Analysis_High!$B48=High_Complexity!$B$2:$B$72),0,1),0),MATCH(Analysis_High!H$42,High_Complexity!$A$2:$K$2,0))</f>
        <v>5</v>
      </c>
      <c r="I48" cm="1">
        <f t="array" ref="I48">INDEX(High_Complexity!$A$2:$K$72,MATCH(1,INDEX((Analysis_High!$A48=High_Complexity!$A$2:$A$72)*(Analysis_High!$B48=High_Complexity!$B$2:$B$72),0,1),0),MATCH(Analysis_High!I$42,High_Complexity!$A$2:$K$2,0))</f>
        <v>3</v>
      </c>
      <c r="J48" cm="1">
        <f t="array" ref="J48">INDEX(High_Complexity!$A$2:$K$72,MATCH(1,INDEX((Analysis_High!$A48=High_Complexity!$A$2:$A$72)*(Analysis_High!$B48=High_Complexity!$B$2:$B$72),0,1),0),MATCH(Analysis_High!J$42,High_Complexity!$A$2:$K$2,0))</f>
        <v>5</v>
      </c>
      <c r="K48" cm="1">
        <f t="array" ref="K48">INDEX(High_Complexity!$A$2:$M$72,MATCH(1,INDEX((Analysis_High!$A48=High_Complexity!$A$2:$A$72)*(Analysis_High!$B48=High_Complexity!$B$2:$B$72),0,1),0),MATCH(Analysis_High!K$23,High_Complexity!$A$2:$M$2,0))</f>
        <v>50</v>
      </c>
    </row>
    <row r="49" spans="1:11" x14ac:dyDescent="0.25">
      <c r="A49">
        <f t="shared" si="18"/>
        <v>7</v>
      </c>
      <c r="B49" t="s">
        <v>12</v>
      </c>
    </row>
    <row r="50" spans="1:11" x14ac:dyDescent="0.25">
      <c r="A50">
        <f t="shared" si="18"/>
        <v>8</v>
      </c>
      <c r="B50" t="s">
        <v>12</v>
      </c>
    </row>
    <row r="51" spans="1:11" x14ac:dyDescent="0.25">
      <c r="A51">
        <f t="shared" si="18"/>
        <v>9</v>
      </c>
      <c r="B51" t="s">
        <v>12</v>
      </c>
    </row>
    <row r="52" spans="1:11" x14ac:dyDescent="0.25">
      <c r="A52">
        <f t="shared" si="18"/>
        <v>10</v>
      </c>
      <c r="B52" t="s">
        <v>12</v>
      </c>
    </row>
    <row r="53" spans="1:11" x14ac:dyDescent="0.25">
      <c r="A53">
        <f t="shared" si="18"/>
        <v>11</v>
      </c>
      <c r="B53" t="s">
        <v>12</v>
      </c>
    </row>
    <row r="54" spans="1:11" x14ac:dyDescent="0.25">
      <c r="A54">
        <f t="shared" si="18"/>
        <v>12</v>
      </c>
      <c r="B54" t="s">
        <v>12</v>
      </c>
    </row>
    <row r="55" spans="1:11" x14ac:dyDescent="0.25">
      <c r="A55">
        <f t="shared" si="18"/>
        <v>13</v>
      </c>
      <c r="B55" t="s">
        <v>12</v>
      </c>
    </row>
    <row r="56" spans="1:11" x14ac:dyDescent="0.25">
      <c r="A56">
        <f t="shared" si="18"/>
        <v>14</v>
      </c>
      <c r="B56" t="s">
        <v>12</v>
      </c>
    </row>
    <row r="57" spans="1:11" x14ac:dyDescent="0.25">
      <c r="A57" s="2" t="s">
        <v>23</v>
      </c>
      <c r="B57" s="2"/>
      <c r="C57" s="2">
        <f>AVERAGE(C43:C56)</f>
        <v>2.8333333333333335</v>
      </c>
      <c r="D57" s="2">
        <f t="shared" ref="D57:K57" si="19">AVERAGE(D43:D56)</f>
        <v>4</v>
      </c>
      <c r="E57" s="2">
        <f t="shared" si="19"/>
        <v>2.1666666666666665</v>
      </c>
      <c r="F57" s="2">
        <f t="shared" si="19"/>
        <v>4</v>
      </c>
      <c r="G57" s="2">
        <f t="shared" si="19"/>
        <v>3.8333333333333335</v>
      </c>
      <c r="H57" s="2">
        <f t="shared" si="19"/>
        <v>3.6666666666666665</v>
      </c>
      <c r="I57" s="2">
        <f t="shared" si="19"/>
        <v>2.1666666666666665</v>
      </c>
      <c r="J57" s="2">
        <f t="shared" si="19"/>
        <v>3.3333333333333335</v>
      </c>
      <c r="K57" s="2">
        <f t="shared" si="19"/>
        <v>31.666666666666668</v>
      </c>
    </row>
    <row r="58" spans="1:11" x14ac:dyDescent="0.25">
      <c r="A58" t="s">
        <v>24</v>
      </c>
      <c r="C58">
        <f>MEDIAN(C43:C56)</f>
        <v>3</v>
      </c>
      <c r="D58">
        <f t="shared" ref="D58:K58" si="20">MEDIAN(D43:D56)</f>
        <v>4</v>
      </c>
      <c r="E58">
        <f t="shared" si="20"/>
        <v>2</v>
      </c>
      <c r="F58">
        <f t="shared" si="20"/>
        <v>4</v>
      </c>
      <c r="G58">
        <f t="shared" si="20"/>
        <v>4</v>
      </c>
      <c r="H58">
        <f t="shared" si="20"/>
        <v>4.5</v>
      </c>
      <c r="I58">
        <f t="shared" si="20"/>
        <v>2</v>
      </c>
      <c r="J58">
        <f t="shared" si="20"/>
        <v>3.5</v>
      </c>
      <c r="K58">
        <f t="shared" si="20"/>
        <v>27.5</v>
      </c>
    </row>
    <row r="61" spans="1:11" x14ac:dyDescent="0.25">
      <c r="A61" s="1" t="s">
        <v>22</v>
      </c>
      <c r="B61" s="1" t="s">
        <v>0</v>
      </c>
      <c r="C61" s="1" t="s">
        <v>1</v>
      </c>
      <c r="D61" s="1" t="s">
        <v>37</v>
      </c>
      <c r="E61" s="1" t="s">
        <v>3</v>
      </c>
      <c r="F61" s="1" t="s">
        <v>38</v>
      </c>
      <c r="G61" s="1" t="s">
        <v>5</v>
      </c>
      <c r="H61" s="1" t="s">
        <v>41</v>
      </c>
      <c r="I61" s="1" t="s">
        <v>42</v>
      </c>
      <c r="J61" s="13" t="s">
        <v>39</v>
      </c>
      <c r="K61" s="1" t="s">
        <v>10</v>
      </c>
    </row>
    <row r="62" spans="1:11" x14ac:dyDescent="0.25">
      <c r="A62">
        <v>1</v>
      </c>
      <c r="B62" t="s">
        <v>15</v>
      </c>
      <c r="C62" cm="1">
        <f t="array" ref="C62">INDEX(High_Complexity!$A$2:$K$72,MATCH(1,INDEX((Analysis_High!$A62=High_Complexity!$A$2:$A$72)*(Analysis_High!$B62=High_Complexity!$B$2:$B$72),0,1),0),MATCH(Analysis_High!C$42,High_Complexity!$A$2:$K$2,0))</f>
        <v>1</v>
      </c>
      <c r="D62" cm="1">
        <f t="array" ref="D62">INDEX(High_Complexity!$A$2:$K$72,MATCH(1,INDEX((Analysis_High!$A62=High_Complexity!$A$2:$A$72)*(Analysis_High!$B62=High_Complexity!$B$2:$B$72),0,1),0),MATCH(Analysis_High!D$42,High_Complexity!$A$2:$K$2,0))</f>
        <v>3</v>
      </c>
      <c r="E62" cm="1">
        <f t="array" ref="E62">INDEX(High_Complexity!$A$2:$K$72,MATCH(1,INDEX((Analysis_High!$A62=High_Complexity!$A$2:$A$72)*(Analysis_High!$B62=High_Complexity!$B$2:$B$72),0,1),0),MATCH(Analysis_High!E$42,High_Complexity!$A$2:$K$2,0))</f>
        <v>3</v>
      </c>
      <c r="F62" cm="1">
        <f t="array" ref="F62">INDEX(High_Complexity!$A$2:$K$72,MATCH(1,INDEX((Analysis_High!$A62=High_Complexity!$A$2:$A$72)*(Analysis_High!$B62=High_Complexity!$B$2:$B$72),0,1),0),MATCH(Analysis_High!F$42,High_Complexity!$A$2:$K$2,0))</f>
        <v>5</v>
      </c>
      <c r="G62" cm="1">
        <f t="array" ref="G62">INDEX(High_Complexity!$A$2:$K$72,MATCH(1,INDEX((Analysis_High!$A62=High_Complexity!$A$2:$A$72)*(Analysis_High!$B62=High_Complexity!$B$2:$B$72),0,1),0),MATCH(Analysis_High!G$42,High_Complexity!$A$2:$K$2,0))</f>
        <v>4</v>
      </c>
      <c r="H62" cm="1">
        <f t="array" ref="H62">INDEX(High_Complexity!$A$2:$K$72,MATCH(1,INDEX((Analysis_High!$A62=High_Complexity!$A$2:$A$72)*(Analysis_High!$B62=High_Complexity!$B$2:$B$72),0,1),0),MATCH(Analysis_High!H$42,High_Complexity!$A$2:$K$2,0))</f>
        <v>5</v>
      </c>
      <c r="I62" cm="1">
        <f t="array" ref="I62">INDEX(High_Complexity!$A$2:$K$72,MATCH(1,INDEX((Analysis_High!$A62=High_Complexity!$A$2:$A$72)*(Analysis_High!$B62=High_Complexity!$B$2:$B$72),0,1),0),MATCH(Analysis_High!I$42,High_Complexity!$A$2:$K$2,0))</f>
        <v>2</v>
      </c>
      <c r="J62" cm="1">
        <f t="array" ref="J62">INDEX(High_Complexity!$A$2:$K$72,MATCH(1,INDEX((Analysis_High!$A62=High_Complexity!$A$2:$A$72)*(Analysis_High!$B62=High_Complexity!$B$2:$B$72),0,1),0),MATCH(Analysis_High!J$42,High_Complexity!$A$2:$K$2,0))</f>
        <v>5</v>
      </c>
      <c r="K62" cm="1">
        <f t="array" ref="K62">INDEX(High_Complexity!$A$2:$M$72,MATCH(1,INDEX((Analysis_High!$A62=High_Complexity!$A$2:$A$72)*(Analysis_High!$B62=High_Complexity!$B$2:$B$72),0,1),0),MATCH(Analysis_High!K$23,High_Complexity!$A$2:$M$2,0))</f>
        <v>42</v>
      </c>
    </row>
    <row r="63" spans="1:11" x14ac:dyDescent="0.25">
      <c r="A63">
        <f>A62+1</f>
        <v>2</v>
      </c>
      <c r="B63" t="s">
        <v>15</v>
      </c>
      <c r="C63" cm="1">
        <f t="array" ref="C63">INDEX(High_Complexity!$A$2:$K$72,MATCH(1,INDEX((Analysis_High!$A63=High_Complexity!$A$2:$A$72)*(Analysis_High!$B63=High_Complexity!$B$2:$B$72),0,1),0),MATCH(Analysis_High!C$42,High_Complexity!$A$2:$K$2,0))</f>
        <v>2</v>
      </c>
      <c r="D63" cm="1">
        <f t="array" ref="D63">INDEX(High_Complexity!$A$2:$K$72,MATCH(1,INDEX((Analysis_High!$A63=High_Complexity!$A$2:$A$72)*(Analysis_High!$B63=High_Complexity!$B$2:$B$72),0,1),0),MATCH(Analysis_High!D$42,High_Complexity!$A$2:$K$2,0))</f>
        <v>4</v>
      </c>
      <c r="E63" cm="1">
        <f t="array" ref="E63">INDEX(High_Complexity!$A$2:$K$72,MATCH(1,INDEX((Analysis_High!$A63=High_Complexity!$A$2:$A$72)*(Analysis_High!$B63=High_Complexity!$B$2:$B$72),0,1),0),MATCH(Analysis_High!E$42,High_Complexity!$A$2:$K$2,0))</f>
        <v>1</v>
      </c>
      <c r="F63" cm="1">
        <f t="array" ref="F63">INDEX(High_Complexity!$A$2:$K$72,MATCH(1,INDEX((Analysis_High!$A63=High_Complexity!$A$2:$A$72)*(Analysis_High!$B63=High_Complexity!$B$2:$B$72),0,1),0),MATCH(Analysis_High!F$42,High_Complexity!$A$2:$K$2,0))</f>
        <v>4</v>
      </c>
      <c r="G63" cm="1">
        <f t="array" ref="G63">INDEX(High_Complexity!$A$2:$K$72,MATCH(1,INDEX((Analysis_High!$A63=High_Complexity!$A$2:$A$72)*(Analysis_High!$B63=High_Complexity!$B$2:$B$72),0,1),0),MATCH(Analysis_High!G$42,High_Complexity!$A$2:$K$2,0))</f>
        <v>3</v>
      </c>
      <c r="H63" cm="1">
        <f t="array" ref="H63">INDEX(High_Complexity!$A$2:$K$72,MATCH(1,INDEX((Analysis_High!$A63=High_Complexity!$A$2:$A$72)*(Analysis_High!$B63=High_Complexity!$B$2:$B$72),0,1),0),MATCH(Analysis_High!H$42,High_Complexity!$A$2:$K$2,0))</f>
        <v>5</v>
      </c>
      <c r="I63" cm="1">
        <f t="array" ref="I63">INDEX(High_Complexity!$A$2:$K$72,MATCH(1,INDEX((Analysis_High!$A63=High_Complexity!$A$2:$A$72)*(Analysis_High!$B63=High_Complexity!$B$2:$B$72),0,1),0),MATCH(Analysis_High!I$42,High_Complexity!$A$2:$K$2,0))</f>
        <v>2</v>
      </c>
      <c r="J63" cm="1">
        <f t="array" ref="J63">INDEX(High_Complexity!$A$2:$K$72,MATCH(1,INDEX((Analysis_High!$A63=High_Complexity!$A$2:$A$72)*(Analysis_High!$B63=High_Complexity!$B$2:$B$72),0,1),0),MATCH(Analysis_High!J$42,High_Complexity!$A$2:$K$2,0))</f>
        <v>3</v>
      </c>
      <c r="K63" cm="1">
        <f t="array" ref="K63">INDEX(High_Complexity!$A$2:$M$72,MATCH(1,INDEX((Analysis_High!$A63=High_Complexity!$A$2:$A$72)*(Analysis_High!$B63=High_Complexity!$B$2:$B$72),0,1),0),MATCH(Analysis_High!K$23,High_Complexity!$A$2:$M$2,0))</f>
        <v>20</v>
      </c>
    </row>
    <row r="64" spans="1:11" x14ac:dyDescent="0.25">
      <c r="A64">
        <f t="shared" ref="A64:A75" si="21">A63+1</f>
        <v>3</v>
      </c>
      <c r="B64" t="s">
        <v>15</v>
      </c>
      <c r="C64" cm="1">
        <f t="array" ref="C64">INDEX(High_Complexity!$A$2:$K$72,MATCH(1,INDEX((Analysis_High!$A64=High_Complexity!$A$2:$A$72)*(Analysis_High!$B64=High_Complexity!$B$2:$B$72),0,1),0),MATCH(Analysis_High!C$42,High_Complexity!$A$2:$K$2,0))</f>
        <v>4</v>
      </c>
      <c r="D64" cm="1">
        <f t="array" ref="D64">INDEX(High_Complexity!$A$2:$K$72,MATCH(1,INDEX((Analysis_High!$A64=High_Complexity!$A$2:$A$72)*(Analysis_High!$B64=High_Complexity!$B$2:$B$72),0,1),0),MATCH(Analysis_High!D$42,High_Complexity!$A$2:$K$2,0))</f>
        <v>3</v>
      </c>
      <c r="E64" cm="1">
        <f t="array" ref="E64">INDEX(High_Complexity!$A$2:$K$72,MATCH(1,INDEX((Analysis_High!$A64=High_Complexity!$A$2:$A$72)*(Analysis_High!$B64=High_Complexity!$B$2:$B$72),0,1),0),MATCH(Analysis_High!E$42,High_Complexity!$A$2:$K$2,0))</f>
        <v>3</v>
      </c>
      <c r="F64" cm="1">
        <f t="array" ref="F64">INDEX(High_Complexity!$A$2:$K$72,MATCH(1,INDEX((Analysis_High!$A64=High_Complexity!$A$2:$A$72)*(Analysis_High!$B64=High_Complexity!$B$2:$B$72),0,1),0),MATCH(Analysis_High!F$42,High_Complexity!$A$2:$K$2,0))</f>
        <v>5</v>
      </c>
      <c r="G64" cm="1">
        <f t="array" ref="G64">INDEX(High_Complexity!$A$2:$K$72,MATCH(1,INDEX((Analysis_High!$A64=High_Complexity!$A$2:$A$72)*(Analysis_High!$B64=High_Complexity!$B$2:$B$72),0,1),0),MATCH(Analysis_High!G$42,High_Complexity!$A$2:$K$2,0))</f>
        <v>2</v>
      </c>
      <c r="H64" cm="1">
        <f t="array" ref="H64">INDEX(High_Complexity!$A$2:$K$72,MATCH(1,INDEX((Analysis_High!$A64=High_Complexity!$A$2:$A$72)*(Analysis_High!$B64=High_Complexity!$B$2:$B$72),0,1),0),MATCH(Analysis_High!H$42,High_Complexity!$A$2:$K$2,0))</f>
        <v>3</v>
      </c>
      <c r="I64" cm="1">
        <f t="array" ref="I64">INDEX(High_Complexity!$A$2:$K$72,MATCH(1,INDEX((Analysis_High!$A64=High_Complexity!$A$2:$A$72)*(Analysis_High!$B64=High_Complexity!$B$2:$B$72),0,1),0),MATCH(Analysis_High!I$42,High_Complexity!$A$2:$K$2,0))</f>
        <v>3</v>
      </c>
      <c r="J64" cm="1">
        <f t="array" ref="J64">INDEX(High_Complexity!$A$2:$K$72,MATCH(1,INDEX((Analysis_High!$A64=High_Complexity!$A$2:$A$72)*(Analysis_High!$B64=High_Complexity!$B$2:$B$72),0,1),0),MATCH(Analysis_High!J$42,High_Complexity!$A$2:$K$2,0))</f>
        <v>2</v>
      </c>
      <c r="K64" cm="1">
        <f t="array" ref="K64">INDEX(High_Complexity!$A$2:$M$72,MATCH(1,INDEX((Analysis_High!$A64=High_Complexity!$A$2:$A$72)*(Analysis_High!$B64=High_Complexity!$B$2:$B$72),0,1),0),MATCH(Analysis_High!K$23,High_Complexity!$A$2:$M$2,0))</f>
        <v>25</v>
      </c>
    </row>
    <row r="65" spans="1:11" x14ac:dyDescent="0.25">
      <c r="A65">
        <f t="shared" si="21"/>
        <v>4</v>
      </c>
      <c r="B65" t="s">
        <v>15</v>
      </c>
      <c r="C65" cm="1">
        <f t="array" ref="C65">INDEX(High_Complexity!$A$2:$K$72,MATCH(1,INDEX((Analysis_High!$A65=High_Complexity!$A$2:$A$72)*(Analysis_High!$B65=High_Complexity!$B$2:$B$72),0,1),0),MATCH(Analysis_High!C$42,High_Complexity!$A$2:$K$2,0))</f>
        <v>2</v>
      </c>
      <c r="D65" cm="1">
        <f t="array" ref="D65">INDEX(High_Complexity!$A$2:$K$72,MATCH(1,INDEX((Analysis_High!$A65=High_Complexity!$A$2:$A$72)*(Analysis_High!$B65=High_Complexity!$B$2:$B$72),0,1),0),MATCH(Analysis_High!D$42,High_Complexity!$A$2:$K$2,0))</f>
        <v>4</v>
      </c>
      <c r="E65" cm="1">
        <f t="array" ref="E65">INDEX(High_Complexity!$A$2:$K$72,MATCH(1,INDEX((Analysis_High!$A65=High_Complexity!$A$2:$A$72)*(Analysis_High!$B65=High_Complexity!$B$2:$B$72),0,1),0),MATCH(Analysis_High!E$42,High_Complexity!$A$2:$K$2,0))</f>
        <v>2</v>
      </c>
      <c r="F65" cm="1">
        <f t="array" ref="F65">INDEX(High_Complexity!$A$2:$K$72,MATCH(1,INDEX((Analysis_High!$A65=High_Complexity!$A$2:$A$72)*(Analysis_High!$B65=High_Complexity!$B$2:$B$72),0,1),0),MATCH(Analysis_High!F$42,High_Complexity!$A$2:$K$2,0))</f>
        <v>4</v>
      </c>
      <c r="G65" cm="1">
        <f t="array" ref="G65">INDEX(High_Complexity!$A$2:$K$72,MATCH(1,INDEX((Analysis_High!$A65=High_Complexity!$A$2:$A$72)*(Analysis_High!$B65=High_Complexity!$B$2:$B$72),0,1),0),MATCH(Analysis_High!G$42,High_Complexity!$A$2:$K$2,0))</f>
        <v>2</v>
      </c>
      <c r="H65" cm="1">
        <f t="array" ref="H65">INDEX(High_Complexity!$A$2:$K$72,MATCH(1,INDEX((Analysis_High!$A65=High_Complexity!$A$2:$A$72)*(Analysis_High!$B65=High_Complexity!$B$2:$B$72),0,1),0),MATCH(Analysis_High!H$42,High_Complexity!$A$2:$K$2,0))</f>
        <v>2</v>
      </c>
      <c r="I65" cm="1">
        <f t="array" ref="I65">INDEX(High_Complexity!$A$2:$K$72,MATCH(1,INDEX((Analysis_High!$A65=High_Complexity!$A$2:$A$72)*(Analysis_High!$B65=High_Complexity!$B$2:$B$72),0,1),0),MATCH(Analysis_High!I$42,High_Complexity!$A$2:$K$2,0))</f>
        <v>1</v>
      </c>
      <c r="J65" cm="1">
        <f t="array" ref="J65">INDEX(High_Complexity!$A$2:$K$72,MATCH(1,INDEX((Analysis_High!$A65=High_Complexity!$A$2:$A$72)*(Analysis_High!$B65=High_Complexity!$B$2:$B$72),0,1),0),MATCH(Analysis_High!J$42,High_Complexity!$A$2:$K$2,0))</f>
        <v>2</v>
      </c>
      <c r="K65" cm="1">
        <f t="array" ref="K65">INDEX(High_Complexity!$A$2:$M$72,MATCH(1,INDEX((Analysis_High!$A65=High_Complexity!$A$2:$A$72)*(Analysis_High!$B65=High_Complexity!$B$2:$B$72),0,1),0),MATCH(Analysis_High!K$23,High_Complexity!$A$2:$M$2,0))</f>
        <v>35</v>
      </c>
    </row>
    <row r="66" spans="1:11" x14ac:dyDescent="0.25">
      <c r="A66">
        <f t="shared" si="21"/>
        <v>5</v>
      </c>
      <c r="B66" t="s">
        <v>15</v>
      </c>
      <c r="C66" cm="1">
        <f t="array" ref="C66">INDEX(High_Complexity!$A$2:$K$72,MATCH(1,INDEX((Analysis_High!$A66=High_Complexity!$A$2:$A$72)*(Analysis_High!$B66=High_Complexity!$B$2:$B$72),0,1),0),MATCH(Analysis_High!C$42,High_Complexity!$A$2:$K$2,0))</f>
        <v>3</v>
      </c>
      <c r="D66" cm="1">
        <f t="array" ref="D66">INDEX(High_Complexity!$A$2:$K$72,MATCH(1,INDEX((Analysis_High!$A66=High_Complexity!$A$2:$A$72)*(Analysis_High!$B66=High_Complexity!$B$2:$B$72),0,1),0),MATCH(Analysis_High!D$42,High_Complexity!$A$2:$K$2,0))</f>
        <v>5</v>
      </c>
      <c r="E66" cm="1">
        <f t="array" ref="E66">INDEX(High_Complexity!$A$2:$K$72,MATCH(1,INDEX((Analysis_High!$A66=High_Complexity!$A$2:$A$72)*(Analysis_High!$B66=High_Complexity!$B$2:$B$72),0,1),0),MATCH(Analysis_High!E$42,High_Complexity!$A$2:$K$2,0))</f>
        <v>2</v>
      </c>
      <c r="F66" cm="1">
        <f t="array" ref="F66">INDEX(High_Complexity!$A$2:$K$72,MATCH(1,INDEX((Analysis_High!$A66=High_Complexity!$A$2:$A$72)*(Analysis_High!$B66=High_Complexity!$B$2:$B$72),0,1),0),MATCH(Analysis_High!F$42,High_Complexity!$A$2:$K$2,0))</f>
        <v>4</v>
      </c>
      <c r="G66" cm="1">
        <f t="array" ref="G66">INDEX(High_Complexity!$A$2:$K$72,MATCH(1,INDEX((Analysis_High!$A66=High_Complexity!$A$2:$A$72)*(Analysis_High!$B66=High_Complexity!$B$2:$B$72),0,1),0),MATCH(Analysis_High!G$42,High_Complexity!$A$2:$K$2,0))</f>
        <v>3</v>
      </c>
      <c r="H66" cm="1">
        <f t="array" ref="H66">INDEX(High_Complexity!$A$2:$K$72,MATCH(1,INDEX((Analysis_High!$A66=High_Complexity!$A$2:$A$72)*(Analysis_High!$B66=High_Complexity!$B$2:$B$72),0,1),0),MATCH(Analysis_High!H$42,High_Complexity!$A$2:$K$2,0))</f>
        <v>4</v>
      </c>
      <c r="I66" cm="1">
        <f t="array" ref="I66">INDEX(High_Complexity!$A$2:$K$72,MATCH(1,INDEX((Analysis_High!$A66=High_Complexity!$A$2:$A$72)*(Analysis_High!$B66=High_Complexity!$B$2:$B$72),0,1),0),MATCH(Analysis_High!I$42,High_Complexity!$A$2:$K$2,0))</f>
        <v>2</v>
      </c>
      <c r="J66" cm="1">
        <f t="array" ref="J66">INDEX(High_Complexity!$A$2:$K$72,MATCH(1,INDEX((Analysis_High!$A66=High_Complexity!$A$2:$A$72)*(Analysis_High!$B66=High_Complexity!$B$2:$B$72),0,1),0),MATCH(Analysis_High!J$42,High_Complexity!$A$2:$K$2,0))</f>
        <v>2</v>
      </c>
      <c r="K66" cm="1">
        <f t="array" ref="K66">INDEX(High_Complexity!$A$2:$M$72,MATCH(1,INDEX((Analysis_High!$A66=High_Complexity!$A$2:$A$72)*(Analysis_High!$B66=High_Complexity!$B$2:$B$72),0,1),0),MATCH(Analysis_High!K$23,High_Complexity!$A$2:$M$2,0))</f>
        <v>20</v>
      </c>
    </row>
    <row r="67" spans="1:11" x14ac:dyDescent="0.25">
      <c r="A67">
        <f t="shared" si="21"/>
        <v>6</v>
      </c>
      <c r="B67" t="s">
        <v>15</v>
      </c>
      <c r="C67" cm="1">
        <f t="array" ref="C67">INDEX(High_Complexity!$A$2:$K$72,MATCH(1,INDEX((Analysis_High!$A67=High_Complexity!$A$2:$A$72)*(Analysis_High!$B67=High_Complexity!$B$2:$B$72),0,1),0),MATCH(Analysis_High!C$42,High_Complexity!$A$2:$K$2,0))</f>
        <v>5</v>
      </c>
      <c r="D67" cm="1">
        <f t="array" ref="D67">INDEX(High_Complexity!$A$2:$K$72,MATCH(1,INDEX((Analysis_High!$A67=High_Complexity!$A$2:$A$72)*(Analysis_High!$B67=High_Complexity!$B$2:$B$72),0,1),0),MATCH(Analysis_High!D$42,High_Complexity!$A$2:$K$2,0))</f>
        <v>4</v>
      </c>
      <c r="E67" cm="1">
        <f t="array" ref="E67">INDEX(High_Complexity!$A$2:$K$72,MATCH(1,INDEX((Analysis_High!$A67=High_Complexity!$A$2:$A$72)*(Analysis_High!$B67=High_Complexity!$B$2:$B$72),0,1),0),MATCH(Analysis_High!E$42,High_Complexity!$A$2:$K$2,0))</f>
        <v>1</v>
      </c>
      <c r="F67" cm="1">
        <f t="array" ref="F67">INDEX(High_Complexity!$A$2:$K$72,MATCH(1,INDEX((Analysis_High!$A67=High_Complexity!$A$2:$A$72)*(Analysis_High!$B67=High_Complexity!$B$2:$B$72),0,1),0),MATCH(Analysis_High!F$42,High_Complexity!$A$2:$K$2,0))</f>
        <v>4</v>
      </c>
      <c r="G67" cm="1">
        <f t="array" ref="G67">INDEX(High_Complexity!$A$2:$K$72,MATCH(1,INDEX((Analysis_High!$A67=High_Complexity!$A$2:$A$72)*(Analysis_High!$B67=High_Complexity!$B$2:$B$72),0,1),0),MATCH(Analysis_High!G$42,High_Complexity!$A$2:$K$2,0))</f>
        <v>1</v>
      </c>
      <c r="H67" cm="1">
        <f t="array" ref="H67">INDEX(High_Complexity!$A$2:$K$72,MATCH(1,INDEX((Analysis_High!$A67=High_Complexity!$A$2:$A$72)*(Analysis_High!$B67=High_Complexity!$B$2:$B$72),0,1),0),MATCH(Analysis_High!H$42,High_Complexity!$A$2:$K$2,0))</f>
        <v>1</v>
      </c>
      <c r="I67" cm="1">
        <f t="array" ref="I67">INDEX(High_Complexity!$A$2:$K$72,MATCH(1,INDEX((Analysis_High!$A67=High_Complexity!$A$2:$A$72)*(Analysis_High!$B67=High_Complexity!$B$2:$B$72),0,1),0),MATCH(Analysis_High!I$42,High_Complexity!$A$2:$K$2,0))</f>
        <v>3</v>
      </c>
      <c r="J67" cm="1">
        <f t="array" ref="J67">INDEX(High_Complexity!$A$2:$K$72,MATCH(1,INDEX((Analysis_High!$A67=High_Complexity!$A$2:$A$72)*(Analysis_High!$B67=High_Complexity!$B$2:$B$72),0,1),0),MATCH(Analysis_High!J$42,High_Complexity!$A$2:$K$2,0))</f>
        <v>4</v>
      </c>
      <c r="K67" cm="1">
        <f t="array" ref="K67">INDEX(High_Complexity!$A$2:$M$72,MATCH(1,INDEX((Analysis_High!$A67=High_Complexity!$A$2:$A$72)*(Analysis_High!$B67=High_Complexity!$B$2:$B$72),0,1),0),MATCH(Analysis_High!K$23,High_Complexity!$A$2:$M$2,0))</f>
        <v>10</v>
      </c>
    </row>
    <row r="68" spans="1:11" x14ac:dyDescent="0.25">
      <c r="A68">
        <f t="shared" si="21"/>
        <v>7</v>
      </c>
      <c r="B68" t="s">
        <v>15</v>
      </c>
    </row>
    <row r="69" spans="1:11" x14ac:dyDescent="0.25">
      <c r="A69">
        <f t="shared" si="21"/>
        <v>8</v>
      </c>
      <c r="B69" t="s">
        <v>15</v>
      </c>
    </row>
    <row r="70" spans="1:11" x14ac:dyDescent="0.25">
      <c r="A70">
        <f t="shared" si="21"/>
        <v>9</v>
      </c>
      <c r="B70" t="s">
        <v>15</v>
      </c>
    </row>
    <row r="71" spans="1:11" x14ac:dyDescent="0.25">
      <c r="A71">
        <f t="shared" si="21"/>
        <v>10</v>
      </c>
      <c r="B71" t="s">
        <v>15</v>
      </c>
    </row>
    <row r="72" spans="1:11" x14ac:dyDescent="0.25">
      <c r="A72">
        <f t="shared" si="21"/>
        <v>11</v>
      </c>
      <c r="B72" t="s">
        <v>15</v>
      </c>
    </row>
    <row r="73" spans="1:11" x14ac:dyDescent="0.25">
      <c r="A73">
        <f t="shared" si="21"/>
        <v>12</v>
      </c>
      <c r="B73" t="s">
        <v>15</v>
      </c>
    </row>
    <row r="74" spans="1:11" x14ac:dyDescent="0.25">
      <c r="A74">
        <f t="shared" si="21"/>
        <v>13</v>
      </c>
      <c r="B74" t="s">
        <v>15</v>
      </c>
    </row>
    <row r="75" spans="1:11" x14ac:dyDescent="0.25">
      <c r="A75">
        <f t="shared" si="21"/>
        <v>14</v>
      </c>
      <c r="B75" t="s">
        <v>15</v>
      </c>
    </row>
    <row r="76" spans="1:11" x14ac:dyDescent="0.25">
      <c r="A76" s="2" t="s">
        <v>23</v>
      </c>
      <c r="B76" s="2"/>
      <c r="C76" s="2">
        <f>AVERAGE(C62:C75)</f>
        <v>2.8333333333333335</v>
      </c>
      <c r="D76" s="2">
        <f t="shared" ref="D76:K76" si="22">AVERAGE(D62:D75)</f>
        <v>3.8333333333333335</v>
      </c>
      <c r="E76" s="2">
        <f t="shared" si="22"/>
        <v>2</v>
      </c>
      <c r="F76" s="2">
        <f t="shared" si="22"/>
        <v>4.333333333333333</v>
      </c>
      <c r="G76" s="2">
        <f t="shared" si="22"/>
        <v>2.5</v>
      </c>
      <c r="H76" s="2">
        <f t="shared" si="22"/>
        <v>3.3333333333333335</v>
      </c>
      <c r="I76" s="2">
        <f t="shared" si="22"/>
        <v>2.1666666666666665</v>
      </c>
      <c r="J76" s="2">
        <f t="shared" si="22"/>
        <v>3</v>
      </c>
      <c r="K76" s="2">
        <f t="shared" si="22"/>
        <v>25.333333333333332</v>
      </c>
    </row>
    <row r="77" spans="1:11" x14ac:dyDescent="0.25">
      <c r="A77" t="s">
        <v>24</v>
      </c>
      <c r="C77">
        <f>MEDIAN(C62:C75)</f>
        <v>2.5</v>
      </c>
      <c r="D77">
        <f t="shared" ref="D77:K77" si="23">MEDIAN(D62:D75)</f>
        <v>4</v>
      </c>
      <c r="E77">
        <f t="shared" si="23"/>
        <v>2</v>
      </c>
      <c r="F77">
        <f t="shared" si="23"/>
        <v>4</v>
      </c>
      <c r="G77">
        <f t="shared" si="23"/>
        <v>2.5</v>
      </c>
      <c r="H77">
        <f t="shared" si="23"/>
        <v>3.5</v>
      </c>
      <c r="I77">
        <f t="shared" si="23"/>
        <v>2</v>
      </c>
      <c r="J77">
        <f t="shared" si="23"/>
        <v>2.5</v>
      </c>
      <c r="K77">
        <f t="shared" si="23"/>
        <v>22.5</v>
      </c>
    </row>
    <row r="80" spans="1:11" x14ac:dyDescent="0.25">
      <c r="A80" s="1" t="s">
        <v>22</v>
      </c>
      <c r="B80" s="1" t="s">
        <v>0</v>
      </c>
      <c r="C80" s="1" t="s">
        <v>1</v>
      </c>
      <c r="D80" s="1" t="s">
        <v>37</v>
      </c>
      <c r="E80" s="1" t="s">
        <v>3</v>
      </c>
      <c r="F80" s="1" t="s">
        <v>38</v>
      </c>
      <c r="G80" s="1" t="s">
        <v>5</v>
      </c>
      <c r="H80" s="1" t="s">
        <v>41</v>
      </c>
      <c r="I80" s="1" t="s">
        <v>42</v>
      </c>
      <c r="J80" s="13" t="s">
        <v>39</v>
      </c>
      <c r="K80" s="1" t="s">
        <v>10</v>
      </c>
    </row>
    <row r="81" spans="1:11" x14ac:dyDescent="0.25">
      <c r="A81">
        <v>1</v>
      </c>
      <c r="B81" t="s">
        <v>17</v>
      </c>
      <c r="C81" cm="1">
        <f t="array" ref="C81">INDEX(High_Complexity!$A$2:$K$72,MATCH(1,INDEX((Analysis_High!$A81=High_Complexity!$A$2:$A$72)*(Analysis_High!$B81=High_Complexity!$B$2:$B$72),0,1),0),MATCH(Analysis_High!C$42,High_Complexity!$A$2:$K$2,0))</f>
        <v>2</v>
      </c>
      <c r="D81" cm="1">
        <f t="array" ref="D81">INDEX(High_Complexity!$A$2:$K$72,MATCH(1,INDEX((Analysis_High!$A81=High_Complexity!$A$2:$A$72)*(Analysis_High!$B81=High_Complexity!$B$2:$B$72),0,1),0),MATCH(Analysis_High!D$42,High_Complexity!$A$2:$K$2,0))</f>
        <v>3</v>
      </c>
      <c r="E81" cm="1">
        <f t="array" ref="E81">INDEX(High_Complexity!$A$2:$K$72,MATCH(1,INDEX((Analysis_High!$A81=High_Complexity!$A$2:$A$72)*(Analysis_High!$B81=High_Complexity!$B$2:$B$72),0,1),0),MATCH(Analysis_High!E$42,High_Complexity!$A$2:$K$2,0))</f>
        <v>4</v>
      </c>
      <c r="F81" cm="1">
        <f t="array" ref="F81">INDEX(High_Complexity!$A$2:$K$72,MATCH(1,INDEX((Analysis_High!$A81=High_Complexity!$A$2:$A$72)*(Analysis_High!$B81=High_Complexity!$B$2:$B$72),0,1),0),MATCH(Analysis_High!F$42,High_Complexity!$A$2:$K$2,0))</f>
        <v>4</v>
      </c>
      <c r="G81" cm="1">
        <f t="array" ref="G81">INDEX(High_Complexity!$A$2:$K$72,MATCH(1,INDEX((Analysis_High!$A81=High_Complexity!$A$2:$A$72)*(Analysis_High!$B81=High_Complexity!$B$2:$B$72),0,1),0),MATCH(Analysis_High!G$42,High_Complexity!$A$2:$K$2,0))</f>
        <v>4</v>
      </c>
      <c r="H81" cm="1">
        <f t="array" ref="H81">INDEX(High_Complexity!$A$2:$K$72,MATCH(1,INDEX((Analysis_High!$A81=High_Complexity!$A$2:$A$72)*(Analysis_High!$B81=High_Complexity!$B$2:$B$72),0,1),0),MATCH(Analysis_High!H$42,High_Complexity!$A$2:$K$2,0))</f>
        <v>5</v>
      </c>
      <c r="I81" cm="1">
        <f t="array" ref="I81">INDEX(High_Complexity!$A$2:$K$72,MATCH(1,INDEX((Analysis_High!$A81=High_Complexity!$A$2:$A$72)*(Analysis_High!$B81=High_Complexity!$B$2:$B$72),0,1),0),MATCH(Analysis_High!I$42,High_Complexity!$A$2:$K$2,0))</f>
        <v>1</v>
      </c>
      <c r="J81" cm="1">
        <f t="array" ref="J81">INDEX(High_Complexity!$A$2:$K$72,MATCH(1,INDEX((Analysis_High!$A81=High_Complexity!$A$2:$A$72)*(Analysis_High!$B81=High_Complexity!$B$2:$B$72),0,1),0),MATCH(Analysis_High!J$42,High_Complexity!$A$2:$K$2,0))</f>
        <v>4</v>
      </c>
      <c r="K81" cm="1">
        <f t="array" ref="K81">INDEX(High_Complexity!$A$2:$M$72,MATCH(1,INDEX((Analysis_High!$A81=High_Complexity!$A$2:$A$72)*(Analysis_High!$B81=High_Complexity!$B$2:$B$72),0,1),0),MATCH(Analysis_High!K$23,High_Complexity!$A$2:$M$2,0))</f>
        <v>8</v>
      </c>
    </row>
    <row r="82" spans="1:11" x14ac:dyDescent="0.25">
      <c r="A82">
        <f>A81+1</f>
        <v>2</v>
      </c>
      <c r="B82" t="s">
        <v>17</v>
      </c>
      <c r="C82" cm="1">
        <f t="array" ref="C82">INDEX(High_Complexity!$A$2:$K$72,MATCH(1,INDEX((Analysis_High!$A82=High_Complexity!$A$2:$A$72)*(Analysis_High!$B82=High_Complexity!$B$2:$B$72),0,1),0),MATCH(Analysis_High!C$42,High_Complexity!$A$2:$K$2,0))</f>
        <v>3</v>
      </c>
      <c r="D82" cm="1">
        <f t="array" ref="D82">INDEX(High_Complexity!$A$2:$K$72,MATCH(1,INDEX((Analysis_High!$A82=High_Complexity!$A$2:$A$72)*(Analysis_High!$B82=High_Complexity!$B$2:$B$72),0,1),0),MATCH(Analysis_High!D$42,High_Complexity!$A$2:$K$2,0))</f>
        <v>4</v>
      </c>
      <c r="E82" cm="1">
        <f t="array" ref="E82">INDEX(High_Complexity!$A$2:$K$72,MATCH(1,INDEX((Analysis_High!$A82=High_Complexity!$A$2:$A$72)*(Analysis_High!$B82=High_Complexity!$B$2:$B$72),0,1),0),MATCH(Analysis_High!E$42,High_Complexity!$A$2:$K$2,0))</f>
        <v>5</v>
      </c>
      <c r="F82" cm="1">
        <f t="array" ref="F82">INDEX(High_Complexity!$A$2:$K$72,MATCH(1,INDEX((Analysis_High!$A82=High_Complexity!$A$2:$A$72)*(Analysis_High!$B82=High_Complexity!$B$2:$B$72),0,1),0),MATCH(Analysis_High!F$42,High_Complexity!$A$2:$K$2,0))</f>
        <v>5</v>
      </c>
      <c r="G82" cm="1">
        <f t="array" ref="G82">INDEX(High_Complexity!$A$2:$K$72,MATCH(1,INDEX((Analysis_High!$A82=High_Complexity!$A$2:$A$72)*(Analysis_High!$B82=High_Complexity!$B$2:$B$72),0,1),0),MATCH(Analysis_High!G$42,High_Complexity!$A$2:$K$2,0))</f>
        <v>5</v>
      </c>
      <c r="H82" cm="1">
        <f t="array" ref="H82">INDEX(High_Complexity!$A$2:$K$72,MATCH(1,INDEX((Analysis_High!$A82=High_Complexity!$A$2:$A$72)*(Analysis_High!$B82=High_Complexity!$B$2:$B$72),0,1),0),MATCH(Analysis_High!H$42,High_Complexity!$A$2:$K$2,0))</f>
        <v>5</v>
      </c>
      <c r="I82" cm="1">
        <f t="array" ref="I82">INDEX(High_Complexity!$A$2:$K$72,MATCH(1,INDEX((Analysis_High!$A82=High_Complexity!$A$2:$A$72)*(Analysis_High!$B82=High_Complexity!$B$2:$B$72),0,1),0),MATCH(Analysis_High!I$42,High_Complexity!$A$2:$K$2,0))</f>
        <v>3</v>
      </c>
      <c r="J82" cm="1">
        <f t="array" ref="J82">INDEX(High_Complexity!$A$2:$K$72,MATCH(1,INDEX((Analysis_High!$A82=High_Complexity!$A$2:$A$72)*(Analysis_High!$B82=High_Complexity!$B$2:$B$72),0,1),0),MATCH(Analysis_High!J$42,High_Complexity!$A$2:$K$2,0))</f>
        <v>5</v>
      </c>
      <c r="K82" cm="1">
        <f t="array" ref="K82">INDEX(High_Complexity!$A$2:$M$72,MATCH(1,INDEX((Analysis_High!$A82=High_Complexity!$A$2:$A$72)*(Analysis_High!$B82=High_Complexity!$B$2:$B$72),0,1),0),MATCH(Analysis_High!K$23,High_Complexity!$A$2:$M$2,0))</f>
        <v>15</v>
      </c>
    </row>
    <row r="83" spans="1:11" x14ac:dyDescent="0.25">
      <c r="A83">
        <f t="shared" ref="A83:A94" si="24">A82+1</f>
        <v>3</v>
      </c>
      <c r="B83" t="s">
        <v>17</v>
      </c>
      <c r="C83" cm="1">
        <f t="array" ref="C83">INDEX(High_Complexity!$A$2:$K$72,MATCH(1,INDEX((Analysis_High!$A83=High_Complexity!$A$2:$A$72)*(Analysis_High!$B83=High_Complexity!$B$2:$B$72),0,1),0),MATCH(Analysis_High!C$42,High_Complexity!$A$2:$K$2,0))</f>
        <v>4</v>
      </c>
      <c r="D83" cm="1">
        <f t="array" ref="D83">INDEX(High_Complexity!$A$2:$K$72,MATCH(1,INDEX((Analysis_High!$A83=High_Complexity!$A$2:$A$72)*(Analysis_High!$B83=High_Complexity!$B$2:$B$72),0,1),0),MATCH(Analysis_High!D$42,High_Complexity!$A$2:$K$2,0))</f>
        <v>4</v>
      </c>
      <c r="E83" cm="1">
        <f t="array" ref="E83">INDEX(High_Complexity!$A$2:$K$72,MATCH(1,INDEX((Analysis_High!$A83=High_Complexity!$A$2:$A$72)*(Analysis_High!$B83=High_Complexity!$B$2:$B$72),0,1),0),MATCH(Analysis_High!E$42,High_Complexity!$A$2:$K$2,0))</f>
        <v>2</v>
      </c>
      <c r="F83" cm="1">
        <f t="array" ref="F83">INDEX(High_Complexity!$A$2:$K$72,MATCH(1,INDEX((Analysis_High!$A83=High_Complexity!$A$2:$A$72)*(Analysis_High!$B83=High_Complexity!$B$2:$B$72),0,1),0),MATCH(Analysis_High!F$42,High_Complexity!$A$2:$K$2,0))</f>
        <v>5</v>
      </c>
      <c r="G83" cm="1">
        <f t="array" ref="G83">INDEX(High_Complexity!$A$2:$K$72,MATCH(1,INDEX((Analysis_High!$A83=High_Complexity!$A$2:$A$72)*(Analysis_High!$B83=High_Complexity!$B$2:$B$72),0,1),0),MATCH(Analysis_High!G$42,High_Complexity!$A$2:$K$2,0))</f>
        <v>3</v>
      </c>
      <c r="H83" cm="1">
        <f t="array" ref="H83">INDEX(High_Complexity!$A$2:$K$72,MATCH(1,INDEX((Analysis_High!$A83=High_Complexity!$A$2:$A$72)*(Analysis_High!$B83=High_Complexity!$B$2:$B$72),0,1),0),MATCH(Analysis_High!H$42,High_Complexity!$A$2:$K$2,0))</f>
        <v>5</v>
      </c>
      <c r="I83" cm="1">
        <f t="array" ref="I83">INDEX(High_Complexity!$A$2:$K$72,MATCH(1,INDEX((Analysis_High!$A83=High_Complexity!$A$2:$A$72)*(Analysis_High!$B83=High_Complexity!$B$2:$B$72),0,1),0),MATCH(Analysis_High!I$42,High_Complexity!$A$2:$K$2,0))</f>
        <v>4</v>
      </c>
      <c r="J83" cm="1">
        <f t="array" ref="J83">INDEX(High_Complexity!$A$2:$K$72,MATCH(1,INDEX((Analysis_High!$A83=High_Complexity!$A$2:$A$72)*(Analysis_High!$B83=High_Complexity!$B$2:$B$72),0,1),0),MATCH(Analysis_High!J$42,High_Complexity!$A$2:$K$2,0))</f>
        <v>4</v>
      </c>
      <c r="K83" cm="1">
        <f t="array" ref="K83">INDEX(High_Complexity!$A$2:$M$72,MATCH(1,INDEX((Analysis_High!$A83=High_Complexity!$A$2:$A$72)*(Analysis_High!$B83=High_Complexity!$B$2:$B$72),0,1),0),MATCH(Analysis_High!K$23,High_Complexity!$A$2:$M$2,0))</f>
        <v>30</v>
      </c>
    </row>
    <row r="84" spans="1:11" x14ac:dyDescent="0.25">
      <c r="A84">
        <f t="shared" si="24"/>
        <v>4</v>
      </c>
      <c r="B84" t="s">
        <v>17</v>
      </c>
      <c r="C84" cm="1">
        <f t="array" ref="C84">INDEX(High_Complexity!$A$2:$K$72,MATCH(1,INDEX((Analysis_High!$A84=High_Complexity!$A$2:$A$72)*(Analysis_High!$B84=High_Complexity!$B$2:$B$72),0,1),0),MATCH(Analysis_High!C$42,High_Complexity!$A$2:$K$2,0))</f>
        <v>2</v>
      </c>
      <c r="D84" cm="1">
        <f t="array" ref="D84">INDEX(High_Complexity!$A$2:$K$72,MATCH(1,INDEX((Analysis_High!$A84=High_Complexity!$A$2:$A$72)*(Analysis_High!$B84=High_Complexity!$B$2:$B$72),0,1),0),MATCH(Analysis_High!D$42,High_Complexity!$A$2:$K$2,0))</f>
        <v>2</v>
      </c>
      <c r="E84" cm="1">
        <f t="array" ref="E84">INDEX(High_Complexity!$A$2:$K$72,MATCH(1,INDEX((Analysis_High!$A84=High_Complexity!$A$2:$A$72)*(Analysis_High!$B84=High_Complexity!$B$2:$B$72),0,1),0),MATCH(Analysis_High!E$42,High_Complexity!$A$2:$K$2,0))</f>
        <v>2</v>
      </c>
      <c r="F84" cm="1">
        <f t="array" ref="F84">INDEX(High_Complexity!$A$2:$K$72,MATCH(1,INDEX((Analysis_High!$A84=High_Complexity!$A$2:$A$72)*(Analysis_High!$B84=High_Complexity!$B$2:$B$72),0,1),0),MATCH(Analysis_High!F$42,High_Complexity!$A$2:$K$2,0))</f>
        <v>2</v>
      </c>
      <c r="G84" cm="1">
        <f t="array" ref="G84">INDEX(High_Complexity!$A$2:$K$72,MATCH(1,INDEX((Analysis_High!$A84=High_Complexity!$A$2:$A$72)*(Analysis_High!$B84=High_Complexity!$B$2:$B$72),0,1),0),MATCH(Analysis_High!G$42,High_Complexity!$A$2:$K$2,0))</f>
        <v>2</v>
      </c>
      <c r="H84" cm="1">
        <f t="array" ref="H84">INDEX(High_Complexity!$A$2:$K$72,MATCH(1,INDEX((Analysis_High!$A84=High_Complexity!$A$2:$A$72)*(Analysis_High!$B84=High_Complexity!$B$2:$B$72),0,1),0),MATCH(Analysis_High!H$42,High_Complexity!$A$2:$K$2,0))</f>
        <v>2</v>
      </c>
      <c r="I84" cm="1">
        <f t="array" ref="I84">INDEX(High_Complexity!$A$2:$K$72,MATCH(1,INDEX((Analysis_High!$A84=High_Complexity!$A$2:$A$72)*(Analysis_High!$B84=High_Complexity!$B$2:$B$72),0,1),0),MATCH(Analysis_High!I$42,High_Complexity!$A$2:$K$2,0))</f>
        <v>2</v>
      </c>
      <c r="J84" cm="1">
        <f t="array" ref="J84">INDEX(High_Complexity!$A$2:$K$72,MATCH(1,INDEX((Analysis_High!$A84=High_Complexity!$A$2:$A$72)*(Analysis_High!$B84=High_Complexity!$B$2:$B$72),0,1),0),MATCH(Analysis_High!J$42,High_Complexity!$A$2:$K$2,0))</f>
        <v>2</v>
      </c>
      <c r="K84" cm="1">
        <f t="array" ref="K84">INDEX(High_Complexity!$A$2:$M$72,MATCH(1,INDEX((Analysis_High!$A84=High_Complexity!$A$2:$A$72)*(Analysis_High!$B84=High_Complexity!$B$2:$B$72),0,1),0),MATCH(Analysis_High!K$23,High_Complexity!$A$2:$M$2,0))</f>
        <v>10</v>
      </c>
    </row>
    <row r="85" spans="1:11" x14ac:dyDescent="0.25">
      <c r="A85">
        <f t="shared" si="24"/>
        <v>5</v>
      </c>
      <c r="B85" t="s">
        <v>17</v>
      </c>
      <c r="C85" cm="1">
        <f t="array" ref="C85">INDEX(High_Complexity!$A$2:$K$72,MATCH(1,INDEX((Analysis_High!$A85=High_Complexity!$A$2:$A$72)*(Analysis_High!$B85=High_Complexity!$B$2:$B$72),0,1),0),MATCH(Analysis_High!C$42,High_Complexity!$A$2:$K$2,0))</f>
        <v>3</v>
      </c>
      <c r="D85" cm="1">
        <f t="array" ref="D85">INDEX(High_Complexity!$A$2:$K$72,MATCH(1,INDEX((Analysis_High!$A85=High_Complexity!$A$2:$A$72)*(Analysis_High!$B85=High_Complexity!$B$2:$B$72),0,1),0),MATCH(Analysis_High!D$42,High_Complexity!$A$2:$K$2,0))</f>
        <v>4</v>
      </c>
      <c r="E85" cm="1">
        <f t="array" ref="E85">INDEX(High_Complexity!$A$2:$K$72,MATCH(1,INDEX((Analysis_High!$A85=High_Complexity!$A$2:$A$72)*(Analysis_High!$B85=High_Complexity!$B$2:$B$72),0,1),0),MATCH(Analysis_High!E$42,High_Complexity!$A$2:$K$2,0))</f>
        <v>3</v>
      </c>
      <c r="F85" cm="1">
        <f t="array" ref="F85">INDEX(High_Complexity!$A$2:$K$72,MATCH(1,INDEX((Analysis_High!$A85=High_Complexity!$A$2:$A$72)*(Analysis_High!$B85=High_Complexity!$B$2:$B$72),0,1),0),MATCH(Analysis_High!F$42,High_Complexity!$A$2:$K$2,0))</f>
        <v>4</v>
      </c>
      <c r="G85" cm="1">
        <f t="array" ref="G85">INDEX(High_Complexity!$A$2:$K$72,MATCH(1,INDEX((Analysis_High!$A85=High_Complexity!$A$2:$A$72)*(Analysis_High!$B85=High_Complexity!$B$2:$B$72),0,1),0),MATCH(Analysis_High!G$42,High_Complexity!$A$2:$K$2,0))</f>
        <v>3</v>
      </c>
      <c r="H85" cm="1">
        <f t="array" ref="H85">INDEX(High_Complexity!$A$2:$K$72,MATCH(1,INDEX((Analysis_High!$A85=High_Complexity!$A$2:$A$72)*(Analysis_High!$B85=High_Complexity!$B$2:$B$72),0,1),0),MATCH(Analysis_High!H$42,High_Complexity!$A$2:$K$2,0))</f>
        <v>4</v>
      </c>
      <c r="I85" cm="1">
        <f t="array" ref="I85">INDEX(High_Complexity!$A$2:$K$72,MATCH(1,INDEX((Analysis_High!$A85=High_Complexity!$A$2:$A$72)*(Analysis_High!$B85=High_Complexity!$B$2:$B$72),0,1),0),MATCH(Analysis_High!I$42,High_Complexity!$A$2:$K$2,0))</f>
        <v>3</v>
      </c>
      <c r="J85" cm="1">
        <f t="array" ref="J85">INDEX(High_Complexity!$A$2:$K$72,MATCH(1,INDEX((Analysis_High!$A85=High_Complexity!$A$2:$A$72)*(Analysis_High!$B85=High_Complexity!$B$2:$B$72),0,1),0),MATCH(Analysis_High!J$42,High_Complexity!$A$2:$K$2,0))</f>
        <v>2</v>
      </c>
      <c r="K85" cm="1">
        <f t="array" ref="K85">INDEX(High_Complexity!$A$2:$M$72,MATCH(1,INDEX((Analysis_High!$A85=High_Complexity!$A$2:$A$72)*(Analysis_High!$B85=High_Complexity!$B$2:$B$72),0,1),0),MATCH(Analysis_High!K$23,High_Complexity!$A$2:$M$2,0))</f>
        <v>15</v>
      </c>
    </row>
    <row r="86" spans="1:11" x14ac:dyDescent="0.25">
      <c r="A86">
        <f t="shared" si="24"/>
        <v>6</v>
      </c>
      <c r="B86" t="s">
        <v>17</v>
      </c>
      <c r="C86" cm="1">
        <f t="array" ref="C86">INDEX(High_Complexity!$A$2:$K$72,MATCH(1,INDEX((Analysis_High!$A86=High_Complexity!$A$2:$A$72)*(Analysis_High!$B86=High_Complexity!$B$2:$B$72),0,1),0),MATCH(Analysis_High!C$42,High_Complexity!$A$2:$K$2,0))</f>
        <v>2</v>
      </c>
      <c r="D86" cm="1">
        <f t="array" ref="D86">INDEX(High_Complexity!$A$2:$K$72,MATCH(1,INDEX((Analysis_High!$A86=High_Complexity!$A$2:$A$72)*(Analysis_High!$B86=High_Complexity!$B$2:$B$72),0,1),0),MATCH(Analysis_High!D$42,High_Complexity!$A$2:$K$2,0))</f>
        <v>4</v>
      </c>
      <c r="E86" cm="1">
        <f t="array" ref="E86">INDEX(High_Complexity!$A$2:$K$72,MATCH(1,INDEX((Analysis_High!$A86=High_Complexity!$A$2:$A$72)*(Analysis_High!$B86=High_Complexity!$B$2:$B$72),0,1),0),MATCH(Analysis_High!E$42,High_Complexity!$A$2:$K$2,0))</f>
        <v>1</v>
      </c>
      <c r="F86" cm="1">
        <f t="array" ref="F86">INDEX(High_Complexity!$A$2:$K$72,MATCH(1,INDEX((Analysis_High!$A86=High_Complexity!$A$2:$A$72)*(Analysis_High!$B86=High_Complexity!$B$2:$B$72),0,1),0),MATCH(Analysis_High!F$42,High_Complexity!$A$2:$K$2,0))</f>
        <v>4</v>
      </c>
      <c r="G86" cm="1">
        <f t="array" ref="G86">INDEX(High_Complexity!$A$2:$K$72,MATCH(1,INDEX((Analysis_High!$A86=High_Complexity!$A$2:$A$72)*(Analysis_High!$B86=High_Complexity!$B$2:$B$72),0,1),0),MATCH(Analysis_High!G$42,High_Complexity!$A$2:$K$2,0))</f>
        <v>4</v>
      </c>
      <c r="H86" cm="1">
        <f t="array" ref="H86">INDEX(High_Complexity!$A$2:$K$72,MATCH(1,INDEX((Analysis_High!$A86=High_Complexity!$A$2:$A$72)*(Analysis_High!$B86=High_Complexity!$B$2:$B$72),0,1),0),MATCH(Analysis_High!H$42,High_Complexity!$A$2:$K$2,0))</f>
        <v>5</v>
      </c>
      <c r="I86" cm="1">
        <f t="array" ref="I86">INDEX(High_Complexity!$A$2:$K$72,MATCH(1,INDEX((Analysis_High!$A86=High_Complexity!$A$2:$A$72)*(Analysis_High!$B86=High_Complexity!$B$2:$B$72),0,1),0),MATCH(Analysis_High!I$42,High_Complexity!$A$2:$K$2,0))</f>
        <v>3</v>
      </c>
      <c r="J86" cm="1">
        <f t="array" ref="J86">INDEX(High_Complexity!$A$2:$K$72,MATCH(1,INDEX((Analysis_High!$A86=High_Complexity!$A$2:$A$72)*(Analysis_High!$B86=High_Complexity!$B$2:$B$72),0,1),0),MATCH(Analysis_High!J$42,High_Complexity!$A$2:$K$2,0))</f>
        <v>4</v>
      </c>
      <c r="K86" cm="1">
        <f t="array" ref="K86">INDEX(High_Complexity!$A$2:$M$72,MATCH(1,INDEX((Analysis_High!$A86=High_Complexity!$A$2:$A$72)*(Analysis_High!$B86=High_Complexity!$B$2:$B$72),0,1),0),MATCH(Analysis_High!K$23,High_Complexity!$A$2:$M$2,0))</f>
        <v>10</v>
      </c>
    </row>
    <row r="87" spans="1:11" x14ac:dyDescent="0.25">
      <c r="A87">
        <f t="shared" si="24"/>
        <v>7</v>
      </c>
      <c r="B87" t="s">
        <v>17</v>
      </c>
    </row>
    <row r="88" spans="1:11" x14ac:dyDescent="0.25">
      <c r="A88">
        <f t="shared" si="24"/>
        <v>8</v>
      </c>
      <c r="B88" t="s">
        <v>17</v>
      </c>
    </row>
    <row r="89" spans="1:11" x14ac:dyDescent="0.25">
      <c r="A89">
        <f t="shared" si="24"/>
        <v>9</v>
      </c>
      <c r="B89" t="s">
        <v>17</v>
      </c>
    </row>
    <row r="90" spans="1:11" x14ac:dyDescent="0.25">
      <c r="A90">
        <f t="shared" si="24"/>
        <v>10</v>
      </c>
      <c r="B90" t="s">
        <v>17</v>
      </c>
    </row>
    <row r="91" spans="1:11" x14ac:dyDescent="0.25">
      <c r="A91">
        <f t="shared" si="24"/>
        <v>11</v>
      </c>
      <c r="B91" t="s">
        <v>17</v>
      </c>
    </row>
    <row r="92" spans="1:11" x14ac:dyDescent="0.25">
      <c r="A92">
        <f t="shared" si="24"/>
        <v>12</v>
      </c>
      <c r="B92" t="s">
        <v>17</v>
      </c>
    </row>
    <row r="93" spans="1:11" x14ac:dyDescent="0.25">
      <c r="A93">
        <f t="shared" si="24"/>
        <v>13</v>
      </c>
      <c r="B93" t="s">
        <v>17</v>
      </c>
    </row>
    <row r="94" spans="1:11" x14ac:dyDescent="0.25">
      <c r="A94">
        <f t="shared" si="24"/>
        <v>14</v>
      </c>
      <c r="B94" t="s">
        <v>17</v>
      </c>
    </row>
    <row r="95" spans="1:11" x14ac:dyDescent="0.25">
      <c r="A95" s="2" t="s">
        <v>23</v>
      </c>
      <c r="B95" s="2"/>
      <c r="C95" s="2">
        <f>AVERAGE(C81:C94)</f>
        <v>2.6666666666666665</v>
      </c>
      <c r="D95" s="2">
        <f t="shared" ref="D95:K95" si="25">AVERAGE(D81:D94)</f>
        <v>3.5</v>
      </c>
      <c r="E95" s="2">
        <f t="shared" si="25"/>
        <v>2.8333333333333335</v>
      </c>
      <c r="F95" s="2">
        <f t="shared" si="25"/>
        <v>4</v>
      </c>
      <c r="G95" s="2">
        <f t="shared" si="25"/>
        <v>3.5</v>
      </c>
      <c r="H95" s="2">
        <f t="shared" si="25"/>
        <v>4.333333333333333</v>
      </c>
      <c r="I95" s="2">
        <f t="shared" si="25"/>
        <v>2.6666666666666665</v>
      </c>
      <c r="J95" s="2">
        <f t="shared" si="25"/>
        <v>3.5</v>
      </c>
      <c r="K95" s="2">
        <f t="shared" si="25"/>
        <v>14.666666666666666</v>
      </c>
    </row>
    <row r="96" spans="1:11" x14ac:dyDescent="0.25">
      <c r="A96" t="s">
        <v>24</v>
      </c>
      <c r="C96">
        <f>MEDIAN(C81:C94)</f>
        <v>2.5</v>
      </c>
      <c r="D96">
        <f t="shared" ref="D96:K96" si="26">MEDIAN(D81:D94)</f>
        <v>4</v>
      </c>
      <c r="E96">
        <f t="shared" si="26"/>
        <v>2.5</v>
      </c>
      <c r="F96">
        <f t="shared" si="26"/>
        <v>4</v>
      </c>
      <c r="G96">
        <f t="shared" si="26"/>
        <v>3.5</v>
      </c>
      <c r="H96">
        <f t="shared" si="26"/>
        <v>5</v>
      </c>
      <c r="I96">
        <f t="shared" si="26"/>
        <v>3</v>
      </c>
      <c r="J96">
        <f t="shared" si="26"/>
        <v>4</v>
      </c>
      <c r="K96">
        <f t="shared" si="26"/>
        <v>12.5</v>
      </c>
    </row>
    <row r="99" spans="1:11" x14ac:dyDescent="0.25">
      <c r="A99" s="1" t="s">
        <v>22</v>
      </c>
      <c r="B99" s="1" t="s">
        <v>0</v>
      </c>
      <c r="C99" s="1" t="s">
        <v>1</v>
      </c>
      <c r="D99" s="1" t="s">
        <v>37</v>
      </c>
      <c r="E99" s="1" t="s">
        <v>3</v>
      </c>
      <c r="F99" s="1" t="s">
        <v>38</v>
      </c>
      <c r="G99" s="1" t="s">
        <v>5</v>
      </c>
      <c r="H99" s="1" t="s">
        <v>41</v>
      </c>
      <c r="I99" s="1" t="s">
        <v>42</v>
      </c>
      <c r="J99" s="13" t="s">
        <v>39</v>
      </c>
      <c r="K99" s="1" t="s">
        <v>10</v>
      </c>
    </row>
    <row r="100" spans="1:11" x14ac:dyDescent="0.25">
      <c r="A100">
        <v>1</v>
      </c>
      <c r="B100" t="s">
        <v>21</v>
      </c>
      <c r="C100" cm="1">
        <f t="array" ref="C100">INDEX(High_Complexity!$A$2:$K$72,MATCH(1,INDEX((Analysis_High!$A100=High_Complexity!$A$2:$A$72)*(Analysis_High!$B100=High_Complexity!$B$2:$B$72),0,1),0),MATCH(Analysis_High!C$42,High_Complexity!$A$2:$K$2,0))</f>
        <v>5</v>
      </c>
      <c r="D100" cm="1">
        <f t="array" ref="D100">INDEX(High_Complexity!$A$2:$K$72,MATCH(1,INDEX((Analysis_High!$A100=High_Complexity!$A$2:$A$72)*(Analysis_High!$B100=High_Complexity!$B$2:$B$72),0,1),0),MATCH(Analysis_High!D$42,High_Complexity!$A$2:$K$2,0))</f>
        <v>5</v>
      </c>
      <c r="E100" cm="1">
        <f t="array" ref="E100">INDEX(High_Complexity!$A$2:$K$72,MATCH(1,INDEX((Analysis_High!$A100=High_Complexity!$A$2:$A$72)*(Analysis_High!$B100=High_Complexity!$B$2:$B$72),0,1),0),MATCH(Analysis_High!E$42,High_Complexity!$A$2:$K$2,0))</f>
        <v>4</v>
      </c>
      <c r="F100" cm="1">
        <f t="array" ref="F100">INDEX(High_Complexity!$A$2:$K$72,MATCH(1,INDEX((Analysis_High!$A100=High_Complexity!$A$2:$A$72)*(Analysis_High!$B100=High_Complexity!$B$2:$B$72),0,1),0),MATCH(Analysis_High!F$42,High_Complexity!$A$2:$K$2,0))</f>
        <v>3</v>
      </c>
      <c r="G100" cm="1">
        <f t="array" ref="G100">INDEX(High_Complexity!$A$2:$K$72,MATCH(1,INDEX((Analysis_High!$A100=High_Complexity!$A$2:$A$72)*(Analysis_High!$B100=High_Complexity!$B$2:$B$72),0,1),0),MATCH(Analysis_High!G$42,High_Complexity!$A$2:$K$2,0))</f>
        <v>3</v>
      </c>
      <c r="H100" cm="1">
        <f t="array" ref="H100">INDEX(High_Complexity!$A$2:$K$72,MATCH(1,INDEX((Analysis_High!$A100=High_Complexity!$A$2:$A$72)*(Analysis_High!$B100=High_Complexity!$B$2:$B$72),0,1),0),MATCH(Analysis_High!H$42,High_Complexity!$A$2:$K$2,0))</f>
        <v>1</v>
      </c>
      <c r="I100" cm="1">
        <f t="array" ref="I100">INDEX(High_Complexity!$A$2:$K$72,MATCH(1,INDEX((Analysis_High!$A100=High_Complexity!$A$2:$A$72)*(Analysis_High!$B100=High_Complexity!$B$2:$B$72),0,1),0),MATCH(Analysis_High!I$42,High_Complexity!$A$2:$K$2,0))</f>
        <v>5</v>
      </c>
      <c r="J100" cm="1">
        <f t="array" ref="J100">INDEX(High_Complexity!$A$2:$K$72,MATCH(1,INDEX((Analysis_High!$A100=High_Complexity!$A$2:$A$72)*(Analysis_High!$B100=High_Complexity!$B$2:$B$72),0,1),0),MATCH(Analysis_High!J$42,High_Complexity!$A$2:$K$2,0))</f>
        <v>3</v>
      </c>
      <c r="K100" cm="1">
        <f t="array" ref="K100">INDEX(High_Complexity!$A$2:$M$72,MATCH(1,INDEX((Analysis_High!$A100=High_Complexity!$A$2:$A$72)*(Analysis_High!$B100=High_Complexity!$B$2:$B$72),0,1),0),MATCH(Analysis_High!K$23,High_Complexity!$A$2:$M$2,0))</f>
        <v>20</v>
      </c>
    </row>
    <row r="101" spans="1:11" x14ac:dyDescent="0.25">
      <c r="A101">
        <f>A100+1</f>
        <v>2</v>
      </c>
      <c r="B101" t="s">
        <v>21</v>
      </c>
      <c r="C101" cm="1">
        <f t="array" ref="C101">INDEX(High_Complexity!$A$2:$K$72,MATCH(1,INDEX((Analysis_High!$A101=High_Complexity!$A$2:$A$72)*(Analysis_High!$B101=High_Complexity!$B$2:$B$72),0,1),0),MATCH(Analysis_High!C$42,High_Complexity!$A$2:$K$2,0))</f>
        <v>4</v>
      </c>
      <c r="D101" cm="1">
        <f t="array" ref="D101">INDEX(High_Complexity!$A$2:$K$72,MATCH(1,INDEX((Analysis_High!$A101=High_Complexity!$A$2:$A$72)*(Analysis_High!$B101=High_Complexity!$B$2:$B$72),0,1),0),MATCH(Analysis_High!D$42,High_Complexity!$A$2:$K$2,0))</f>
        <v>4</v>
      </c>
      <c r="E101" cm="1">
        <f t="array" ref="E101">INDEX(High_Complexity!$A$2:$K$72,MATCH(1,INDEX((Analysis_High!$A101=High_Complexity!$A$2:$A$72)*(Analysis_High!$B101=High_Complexity!$B$2:$B$72),0,1),0),MATCH(Analysis_High!E$42,High_Complexity!$A$2:$K$2,0))</f>
        <v>1</v>
      </c>
      <c r="F101" cm="1">
        <f t="array" ref="F101">INDEX(High_Complexity!$A$2:$K$72,MATCH(1,INDEX((Analysis_High!$A101=High_Complexity!$A$2:$A$72)*(Analysis_High!$B101=High_Complexity!$B$2:$B$72),0,1),0),MATCH(Analysis_High!F$42,High_Complexity!$A$2:$K$2,0))</f>
        <v>5</v>
      </c>
      <c r="G101" cm="1">
        <f t="array" ref="G101">INDEX(High_Complexity!$A$2:$K$72,MATCH(1,INDEX((Analysis_High!$A101=High_Complexity!$A$2:$A$72)*(Analysis_High!$B101=High_Complexity!$B$2:$B$72),0,1),0),MATCH(Analysis_High!G$42,High_Complexity!$A$2:$K$2,0))</f>
        <v>1</v>
      </c>
      <c r="H101" cm="1">
        <f t="array" ref="H101">INDEX(High_Complexity!$A$2:$K$72,MATCH(1,INDEX((Analysis_High!$A101=High_Complexity!$A$2:$A$72)*(Analysis_High!$B101=High_Complexity!$B$2:$B$72),0,1),0),MATCH(Analysis_High!H$42,High_Complexity!$A$2:$K$2,0))</f>
        <v>2</v>
      </c>
      <c r="I101" cm="1">
        <f t="array" ref="I101">INDEX(High_Complexity!$A$2:$K$72,MATCH(1,INDEX((Analysis_High!$A101=High_Complexity!$A$2:$A$72)*(Analysis_High!$B101=High_Complexity!$B$2:$B$72),0,1),0),MATCH(Analysis_High!I$42,High_Complexity!$A$2:$K$2,0))</f>
        <v>3</v>
      </c>
      <c r="J101" cm="1">
        <f t="array" ref="J101">INDEX(High_Complexity!$A$2:$K$72,MATCH(1,INDEX((Analysis_High!$A101=High_Complexity!$A$2:$A$72)*(Analysis_High!$B101=High_Complexity!$B$2:$B$72),0,1),0),MATCH(Analysis_High!J$42,High_Complexity!$A$2:$K$2,0))</f>
        <v>4</v>
      </c>
      <c r="K101" cm="1">
        <f t="array" ref="K101">INDEX(High_Complexity!$A$2:$M$72,MATCH(1,INDEX((Analysis_High!$A101=High_Complexity!$A$2:$A$72)*(Analysis_High!$B101=High_Complexity!$B$2:$B$72),0,1),0),MATCH(Analysis_High!K$23,High_Complexity!$A$2:$M$2,0))</f>
        <v>5</v>
      </c>
    </row>
    <row r="102" spans="1:11" x14ac:dyDescent="0.25">
      <c r="A102">
        <f t="shared" ref="A102:A113" si="27">A101+1</f>
        <v>3</v>
      </c>
      <c r="B102" t="s">
        <v>21</v>
      </c>
      <c r="C102" cm="1">
        <f t="array" ref="C102">INDEX(High_Complexity!$A$2:$K$72,MATCH(1,INDEX((Analysis_High!$A102=High_Complexity!$A$2:$A$72)*(Analysis_High!$B102=High_Complexity!$B$2:$B$72),0,1),0),MATCH(Analysis_High!C$42,High_Complexity!$A$2:$K$2,0))</f>
        <v>2</v>
      </c>
      <c r="D102" cm="1">
        <f t="array" ref="D102">INDEX(High_Complexity!$A$2:$K$72,MATCH(1,INDEX((Analysis_High!$A102=High_Complexity!$A$2:$A$72)*(Analysis_High!$B102=High_Complexity!$B$2:$B$72),0,1),0),MATCH(Analysis_High!D$42,High_Complexity!$A$2:$K$2,0))</f>
        <v>3</v>
      </c>
      <c r="E102" cm="1">
        <f t="array" ref="E102">INDEX(High_Complexity!$A$2:$K$72,MATCH(1,INDEX((Analysis_High!$A102=High_Complexity!$A$2:$A$72)*(Analysis_High!$B102=High_Complexity!$B$2:$B$72),0,1),0),MATCH(Analysis_High!E$42,High_Complexity!$A$2:$K$2,0))</f>
        <v>2</v>
      </c>
      <c r="F102" cm="1">
        <f t="array" ref="F102">INDEX(High_Complexity!$A$2:$K$72,MATCH(1,INDEX((Analysis_High!$A102=High_Complexity!$A$2:$A$72)*(Analysis_High!$B102=High_Complexity!$B$2:$B$72),0,1),0),MATCH(Analysis_High!F$42,High_Complexity!$A$2:$K$2,0))</f>
        <v>3</v>
      </c>
      <c r="G102" cm="1">
        <f t="array" ref="G102">INDEX(High_Complexity!$A$2:$K$72,MATCH(1,INDEX((Analysis_High!$A102=High_Complexity!$A$2:$A$72)*(Analysis_High!$B102=High_Complexity!$B$2:$B$72),0,1),0),MATCH(Analysis_High!G$42,High_Complexity!$A$2:$K$2,0))</f>
        <v>3</v>
      </c>
      <c r="H102" cm="1">
        <f t="array" ref="H102">INDEX(High_Complexity!$A$2:$K$72,MATCH(1,INDEX((Analysis_High!$A102=High_Complexity!$A$2:$A$72)*(Analysis_High!$B102=High_Complexity!$B$2:$B$72),0,1),0),MATCH(Analysis_High!H$42,High_Complexity!$A$2:$K$2,0))</f>
        <v>2</v>
      </c>
      <c r="I102" cm="1">
        <f t="array" ref="I102">INDEX(High_Complexity!$A$2:$K$72,MATCH(1,INDEX((Analysis_High!$A102=High_Complexity!$A$2:$A$72)*(Analysis_High!$B102=High_Complexity!$B$2:$B$72),0,1),0),MATCH(Analysis_High!I$42,High_Complexity!$A$2:$K$2,0))</f>
        <v>1</v>
      </c>
      <c r="J102" cm="1">
        <f t="array" ref="J102">INDEX(High_Complexity!$A$2:$K$72,MATCH(1,INDEX((Analysis_High!$A102=High_Complexity!$A$2:$A$72)*(Analysis_High!$B102=High_Complexity!$B$2:$B$72),0,1),0),MATCH(Analysis_High!J$42,High_Complexity!$A$2:$K$2,0))</f>
        <v>2</v>
      </c>
      <c r="K102" cm="1">
        <f t="array" ref="K102">INDEX(High_Complexity!$A$2:$M$72,MATCH(1,INDEX((Analysis_High!$A102=High_Complexity!$A$2:$A$72)*(Analysis_High!$B102=High_Complexity!$B$2:$B$72),0,1),0),MATCH(Analysis_High!K$23,High_Complexity!$A$2:$M$2,0))</f>
        <v>10</v>
      </c>
    </row>
    <row r="103" spans="1:11" x14ac:dyDescent="0.25">
      <c r="A103">
        <f t="shared" si="27"/>
        <v>4</v>
      </c>
      <c r="B103" t="s">
        <v>21</v>
      </c>
      <c r="C103" cm="1">
        <f t="array" ref="C103">INDEX(High_Complexity!$A$2:$K$72,MATCH(1,INDEX((Analysis_High!$A103=High_Complexity!$A$2:$A$72)*(Analysis_High!$B103=High_Complexity!$B$2:$B$72),0,1),0),MATCH(Analysis_High!C$42,High_Complexity!$A$2:$K$2,0))</f>
        <v>3</v>
      </c>
      <c r="D103" cm="1">
        <f t="array" ref="D103">INDEX(High_Complexity!$A$2:$K$72,MATCH(1,INDEX((Analysis_High!$A103=High_Complexity!$A$2:$A$72)*(Analysis_High!$B103=High_Complexity!$B$2:$B$72),0,1),0),MATCH(Analysis_High!D$42,High_Complexity!$A$2:$K$2,0))</f>
        <v>3</v>
      </c>
      <c r="E103" cm="1">
        <f t="array" ref="E103">INDEX(High_Complexity!$A$2:$K$72,MATCH(1,INDEX((Analysis_High!$A103=High_Complexity!$A$2:$A$72)*(Analysis_High!$B103=High_Complexity!$B$2:$B$72),0,1),0),MATCH(Analysis_High!E$42,High_Complexity!$A$2:$K$2,0))</f>
        <v>1</v>
      </c>
      <c r="F103" cm="1">
        <f t="array" ref="F103">INDEX(High_Complexity!$A$2:$K$72,MATCH(1,INDEX((Analysis_High!$A103=High_Complexity!$A$2:$A$72)*(Analysis_High!$B103=High_Complexity!$B$2:$B$72),0,1),0),MATCH(Analysis_High!F$42,High_Complexity!$A$2:$K$2,0))</f>
        <v>4</v>
      </c>
      <c r="G103" cm="1">
        <f t="array" ref="G103">INDEX(High_Complexity!$A$2:$K$72,MATCH(1,INDEX((Analysis_High!$A103=High_Complexity!$A$2:$A$72)*(Analysis_High!$B103=High_Complexity!$B$2:$B$72),0,1),0),MATCH(Analysis_High!G$42,High_Complexity!$A$2:$K$2,0))</f>
        <v>2</v>
      </c>
      <c r="H103" cm="1">
        <f t="array" ref="H103">INDEX(High_Complexity!$A$2:$K$72,MATCH(1,INDEX((Analysis_High!$A103=High_Complexity!$A$2:$A$72)*(Analysis_High!$B103=High_Complexity!$B$2:$B$72),0,1),0),MATCH(Analysis_High!H$42,High_Complexity!$A$2:$K$2,0))</f>
        <v>1</v>
      </c>
      <c r="I103" cm="1">
        <f t="array" ref="I103">INDEX(High_Complexity!$A$2:$K$72,MATCH(1,INDEX((Analysis_High!$A103=High_Complexity!$A$2:$A$72)*(Analysis_High!$B103=High_Complexity!$B$2:$B$72),0,1),0),MATCH(Analysis_High!I$42,High_Complexity!$A$2:$K$2,0))</f>
        <v>4</v>
      </c>
      <c r="J103" cm="1">
        <f t="array" ref="J103">INDEX(High_Complexity!$A$2:$K$72,MATCH(1,INDEX((Analysis_High!$A103=High_Complexity!$A$2:$A$72)*(Analysis_High!$B103=High_Complexity!$B$2:$B$72),0,1),0),MATCH(Analysis_High!J$42,High_Complexity!$A$2:$K$2,0))</f>
        <v>3</v>
      </c>
      <c r="K103" cm="1">
        <f t="array" ref="K103">INDEX(High_Complexity!$A$2:$M$72,MATCH(1,INDEX((Analysis_High!$A103=High_Complexity!$A$2:$A$72)*(Analysis_High!$B103=High_Complexity!$B$2:$B$72),0,1),0),MATCH(Analysis_High!K$23,High_Complexity!$A$2:$M$2,0))</f>
        <v>25</v>
      </c>
    </row>
    <row r="104" spans="1:11" x14ac:dyDescent="0.25">
      <c r="A104">
        <f t="shared" si="27"/>
        <v>5</v>
      </c>
      <c r="B104" t="s">
        <v>21</v>
      </c>
      <c r="C104" cm="1">
        <f t="array" ref="C104">INDEX(High_Complexity!$A$2:$K$72,MATCH(1,INDEX((Analysis_High!$A104=High_Complexity!$A$2:$A$72)*(Analysis_High!$B104=High_Complexity!$B$2:$B$72),0,1),0),MATCH(Analysis_High!C$42,High_Complexity!$A$2:$K$2,0))</f>
        <v>4</v>
      </c>
      <c r="D104" cm="1">
        <f t="array" ref="D104">INDEX(High_Complexity!$A$2:$K$72,MATCH(1,INDEX((Analysis_High!$A104=High_Complexity!$A$2:$A$72)*(Analysis_High!$B104=High_Complexity!$B$2:$B$72),0,1),0),MATCH(Analysis_High!D$42,High_Complexity!$A$2:$K$2,0))</f>
        <v>5</v>
      </c>
      <c r="E104" cm="1">
        <f t="array" ref="E104">INDEX(High_Complexity!$A$2:$K$72,MATCH(1,INDEX((Analysis_High!$A104=High_Complexity!$A$2:$A$72)*(Analysis_High!$B104=High_Complexity!$B$2:$B$72),0,1),0),MATCH(Analysis_High!E$42,High_Complexity!$A$2:$K$2,0))</f>
        <v>1</v>
      </c>
      <c r="F104" cm="1">
        <f t="array" ref="F104">INDEX(High_Complexity!$A$2:$K$72,MATCH(1,INDEX((Analysis_High!$A104=High_Complexity!$A$2:$A$72)*(Analysis_High!$B104=High_Complexity!$B$2:$B$72),0,1),0),MATCH(Analysis_High!F$42,High_Complexity!$A$2:$K$2,0))</f>
        <v>5</v>
      </c>
      <c r="G104" cm="1">
        <f t="array" ref="G104">INDEX(High_Complexity!$A$2:$K$72,MATCH(1,INDEX((Analysis_High!$A104=High_Complexity!$A$2:$A$72)*(Analysis_High!$B104=High_Complexity!$B$2:$B$72),0,1),0),MATCH(Analysis_High!G$42,High_Complexity!$A$2:$K$2,0))</f>
        <v>2</v>
      </c>
      <c r="H104" cm="1">
        <f t="array" ref="H104">INDEX(High_Complexity!$A$2:$K$72,MATCH(1,INDEX((Analysis_High!$A104=High_Complexity!$A$2:$A$72)*(Analysis_High!$B104=High_Complexity!$B$2:$B$72),0,1),0),MATCH(Analysis_High!H$42,High_Complexity!$A$2:$K$2,0))</f>
        <v>5</v>
      </c>
      <c r="I104" cm="1">
        <f t="array" ref="I104">INDEX(High_Complexity!$A$2:$K$72,MATCH(1,INDEX((Analysis_High!$A104=High_Complexity!$A$2:$A$72)*(Analysis_High!$B104=High_Complexity!$B$2:$B$72),0,1),0),MATCH(Analysis_High!I$42,High_Complexity!$A$2:$K$2,0))</f>
        <v>3</v>
      </c>
      <c r="J104" cm="1">
        <f t="array" ref="J104">INDEX(High_Complexity!$A$2:$K$72,MATCH(1,INDEX((Analysis_High!$A104=High_Complexity!$A$2:$A$72)*(Analysis_High!$B104=High_Complexity!$B$2:$B$72),0,1),0),MATCH(Analysis_High!J$42,High_Complexity!$A$2:$K$2,0))</f>
        <v>5</v>
      </c>
      <c r="K104" cm="1">
        <f t="array" ref="K104">INDEX(High_Complexity!$A$2:$M$72,MATCH(1,INDEX((Analysis_High!$A104=High_Complexity!$A$2:$A$72)*(Analysis_High!$B104=High_Complexity!$B$2:$B$72),0,1),0),MATCH(Analysis_High!K$23,High_Complexity!$A$2:$M$2,0))</f>
        <v>10</v>
      </c>
    </row>
    <row r="105" spans="1:11" x14ac:dyDescent="0.25">
      <c r="A105">
        <f t="shared" si="27"/>
        <v>6</v>
      </c>
      <c r="B105" t="s">
        <v>21</v>
      </c>
    </row>
    <row r="106" spans="1:11" x14ac:dyDescent="0.25">
      <c r="A106">
        <f t="shared" si="27"/>
        <v>7</v>
      </c>
      <c r="B106" t="s">
        <v>21</v>
      </c>
    </row>
    <row r="107" spans="1:11" x14ac:dyDescent="0.25">
      <c r="A107">
        <f t="shared" si="27"/>
        <v>8</v>
      </c>
      <c r="B107" t="s">
        <v>21</v>
      </c>
    </row>
    <row r="108" spans="1:11" x14ac:dyDescent="0.25">
      <c r="A108">
        <f t="shared" si="27"/>
        <v>9</v>
      </c>
      <c r="B108" t="s">
        <v>21</v>
      </c>
    </row>
    <row r="109" spans="1:11" x14ac:dyDescent="0.25">
      <c r="A109">
        <f t="shared" si="27"/>
        <v>10</v>
      </c>
      <c r="B109" t="s">
        <v>21</v>
      </c>
    </row>
    <row r="110" spans="1:11" x14ac:dyDescent="0.25">
      <c r="A110">
        <f t="shared" si="27"/>
        <v>11</v>
      </c>
      <c r="B110" t="s">
        <v>21</v>
      </c>
    </row>
    <row r="111" spans="1:11" x14ac:dyDescent="0.25">
      <c r="A111">
        <f t="shared" si="27"/>
        <v>12</v>
      </c>
      <c r="B111" t="s">
        <v>21</v>
      </c>
    </row>
    <row r="112" spans="1:11" x14ac:dyDescent="0.25">
      <c r="A112">
        <f t="shared" si="27"/>
        <v>13</v>
      </c>
      <c r="B112" t="s">
        <v>21</v>
      </c>
    </row>
    <row r="113" spans="1:11" x14ac:dyDescent="0.25">
      <c r="A113">
        <f t="shared" si="27"/>
        <v>14</v>
      </c>
      <c r="B113" t="s">
        <v>21</v>
      </c>
    </row>
    <row r="114" spans="1:11" x14ac:dyDescent="0.25">
      <c r="A114" s="2" t="s">
        <v>23</v>
      </c>
      <c r="B114" s="2"/>
      <c r="C114" s="2">
        <f>AVERAGE(C100:C113)</f>
        <v>3.6</v>
      </c>
      <c r="D114" s="2">
        <f t="shared" ref="D114:J114" si="28">AVERAGE(D100:D113)</f>
        <v>4</v>
      </c>
      <c r="E114" s="2">
        <f t="shared" si="28"/>
        <v>1.8</v>
      </c>
      <c r="F114" s="2">
        <f t="shared" si="28"/>
        <v>4</v>
      </c>
      <c r="G114" s="2">
        <f t="shared" si="28"/>
        <v>2.2000000000000002</v>
      </c>
      <c r="H114" s="2">
        <f t="shared" si="28"/>
        <v>2.2000000000000002</v>
      </c>
      <c r="I114" s="2">
        <f t="shared" si="28"/>
        <v>3.2</v>
      </c>
      <c r="J114" s="2">
        <f t="shared" si="28"/>
        <v>3.4</v>
      </c>
      <c r="K114" s="2">
        <f>AVERAGE(K100:K113)</f>
        <v>14</v>
      </c>
    </row>
    <row r="115" spans="1:11" x14ac:dyDescent="0.25">
      <c r="A115" t="s">
        <v>24</v>
      </c>
      <c r="C115">
        <f>MEDIAN(C100:C113)</f>
        <v>4</v>
      </c>
      <c r="D115">
        <f t="shared" ref="D115:K115" si="29">MEDIAN(D100:D113)</f>
        <v>4</v>
      </c>
      <c r="E115">
        <f t="shared" si="29"/>
        <v>1</v>
      </c>
      <c r="F115">
        <f t="shared" si="29"/>
        <v>4</v>
      </c>
      <c r="G115">
        <f t="shared" si="29"/>
        <v>2</v>
      </c>
      <c r="H115">
        <f t="shared" si="29"/>
        <v>2</v>
      </c>
      <c r="I115">
        <f t="shared" si="29"/>
        <v>3</v>
      </c>
      <c r="J115">
        <f t="shared" si="29"/>
        <v>3</v>
      </c>
      <c r="K115">
        <f t="shared" si="29"/>
        <v>10</v>
      </c>
    </row>
  </sheetData>
  <mergeCells count="2">
    <mergeCell ref="B2:I2"/>
    <mergeCell ref="B13:I13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CD7C-EDC2-4EE7-A311-1018FF8E335C}">
  <sheetPr codeName="Tabelle7"/>
  <dimension ref="A1:K15"/>
  <sheetViews>
    <sheetView showGridLines="0" workbookViewId="0">
      <selection activeCell="D23" sqref="D23"/>
    </sheetView>
  </sheetViews>
  <sheetFormatPr defaultColWidth="10.85546875" defaultRowHeight="15" x14ac:dyDescent="0.25"/>
  <cols>
    <col min="1" max="1" width="5.28515625" customWidth="1"/>
    <col min="3" max="3" width="15.28515625" bestFit="1" customWidth="1"/>
    <col min="4" max="4" width="19.28515625" customWidth="1"/>
    <col min="5" max="5" width="35.7109375" bestFit="1" customWidth="1"/>
  </cols>
  <sheetData>
    <row r="1" spans="1:11" ht="18.75" x14ac:dyDescent="0.3">
      <c r="A1" s="10" t="s">
        <v>40</v>
      </c>
      <c r="B1" s="1"/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C2" s="16" t="s">
        <v>43</v>
      </c>
      <c r="D2" s="16" t="s">
        <v>44</v>
      </c>
      <c r="E2" s="16" t="s">
        <v>45</v>
      </c>
    </row>
    <row r="3" spans="1:11" x14ac:dyDescent="0.25">
      <c r="B3" s="16" t="s">
        <v>1</v>
      </c>
      <c r="C3" s="16">
        <f>IFERROR(INDEX(Analysis_Low!$A$9:$K$9,1,MATCH(Calculation!B3,Analysis_Low!$A$3:$K$3,0)),"")</f>
        <v>2.7877192982456136</v>
      </c>
      <c r="D3" s="16">
        <f>IFERROR(INDEX(Analysis_Medium!$A$9:$K$9,1,MATCH(Calculation!B3,Analysis_Medium!$A$3:$K$3,0)),"")</f>
        <v>2.3567901234567903</v>
      </c>
      <c r="E3" s="16">
        <f>IFERROR(INDEX(Analysis_High!$A$9:$K$9,1,MATCH(Calculation!B3,Analysis_High!$A$3:$K$3,0)),"")</f>
        <v>3.064758876523582</v>
      </c>
    </row>
    <row r="4" spans="1:11" x14ac:dyDescent="0.25">
      <c r="B4" s="16" t="s">
        <v>37</v>
      </c>
      <c r="C4" s="16">
        <f>IFERROR(INDEX(Analysis_Low!$A$9:$K$9,1,MATCH(Calculation!B4,Analysis_Low!$A$3:$K$3,0)),"")</f>
        <v>3.7047619047619049</v>
      </c>
      <c r="D4" s="16">
        <f>IFERROR(INDEX(Analysis_Medium!$A$9:$K$9,1,MATCH(Calculation!B4,Analysis_Medium!$A$3:$K$3,0)),"")</f>
        <v>3.2129629629629628</v>
      </c>
      <c r="E4" s="16">
        <f>IFERROR(INDEX(Analysis_High!$A$9:$K$9,1,MATCH(Calculation!B4,Analysis_High!$A$3:$K$3,0)),"")</f>
        <v>3.5850556438791727</v>
      </c>
    </row>
    <row r="5" spans="1:11" x14ac:dyDescent="0.25">
      <c r="B5" s="16" t="s">
        <v>3</v>
      </c>
      <c r="C5" s="16">
        <f>IFERROR(INDEX(Analysis_Low!$A$9:$K$9,1,MATCH(Calculation!B5,Analysis_Low!$A$3:$K$3,0)),"")</f>
        <v>2.6177944862155389</v>
      </c>
      <c r="D5" s="16">
        <f>IFERROR(INDEX(Analysis_Medium!$A$9:$K$9,1,MATCH(Calculation!B5,Analysis_Medium!$A$3:$K$3,0)),"")</f>
        <v>2.384567901234568</v>
      </c>
      <c r="E5" s="16">
        <f>IFERROR(INDEX(Analysis_High!$A$9:$K$9,1,MATCH(Calculation!B5,Analysis_High!$A$3:$K$3,0)),"")</f>
        <v>2.2011658717541067</v>
      </c>
    </row>
    <row r="6" spans="1:11" x14ac:dyDescent="0.25">
      <c r="B6" t="s">
        <v>38</v>
      </c>
      <c r="C6">
        <f>IFERROR(INDEX(Analysis_Low!$A$9:$K$9,1,MATCH(Calculation!B6,Analysis_Low!$A$3:$K$3,0)),"")</f>
        <v>3.689724310776942</v>
      </c>
      <c r="D6">
        <f>IFERROR(INDEX(Analysis_Medium!$A$9:$K$9,1,MATCH(Calculation!B6,Analysis_Medium!$A$3:$K$3,0)),"")</f>
        <v>2.8154320987654322</v>
      </c>
      <c r="E6">
        <f>IFERROR(INDEX(Analysis_High!$A$9:$K$9,1,MATCH(Calculation!B6,Analysis_High!$A$3:$K$3,0)),"")</f>
        <v>3.9586645468998403</v>
      </c>
    </row>
    <row r="7" spans="1:11" x14ac:dyDescent="0.25">
      <c r="B7" t="s">
        <v>5</v>
      </c>
      <c r="C7">
        <f>IFERROR(INDEX(Analysis_Low!$A$9:$K$9,1,MATCH(Calculation!B7,Analysis_Low!$A$3:$K$3,0)),"")</f>
        <v>3.1238095238095234</v>
      </c>
      <c r="D7">
        <f>IFERROR(INDEX(Analysis_Medium!$A$9:$K$9,1,MATCH(Calculation!B7,Analysis_Medium!$A$3:$K$3,0)),"")</f>
        <v>2.7067901234567904</v>
      </c>
      <c r="E7">
        <f>IFERROR(INDEX(Analysis_High!$A$9:$K$9,1,MATCH(Calculation!B7,Analysis_High!$A$3:$K$3,0)),"")</f>
        <v>2.9416534181240057</v>
      </c>
    </row>
    <row r="8" spans="1:11" x14ac:dyDescent="0.25">
      <c r="B8" t="s">
        <v>41</v>
      </c>
      <c r="C8">
        <f>IFERROR(INDEX(Analysis_Low!$A$9:$K$9,1,MATCH(Calculation!B8,Analysis_Low!$A$3:$K$3,0)),"")</f>
        <v>3.3904761904761909</v>
      </c>
      <c r="D8">
        <f>IFERROR(INDEX(Analysis_Medium!$A$9:$K$9,1,MATCH(Calculation!B8,Analysis_Medium!$A$3:$K$3,0)),"")</f>
        <v>3.4314814814814816</v>
      </c>
      <c r="E8">
        <f>IFERROR(INDEX(Analysis_High!$A$9:$K$9,1,MATCH(Calculation!B8,Analysis_High!$A$3:$K$3,0)),"")</f>
        <v>3.3311605723370423</v>
      </c>
    </row>
    <row r="9" spans="1:11" x14ac:dyDescent="0.25">
      <c r="B9" t="s">
        <v>42</v>
      </c>
      <c r="C9">
        <f>IFERROR(INDEX(Analysis_Low!$A$9:$K$9,1,MATCH(Calculation!B9,Analysis_Low!$A$3:$K$3,0)),"")</f>
        <v>2.6190476190476195</v>
      </c>
      <c r="D9">
        <f>IFERROR(INDEX(Analysis_Medium!$A$9:$K$9,1,MATCH(Calculation!B9,Analysis_Medium!$A$3:$K$3,0)),"")</f>
        <v>2.3944444444444448</v>
      </c>
      <c r="E9">
        <f>IFERROR(INDEX(Analysis_High!$A$9:$K$9,1,MATCH(Calculation!B9,Analysis_High!$A$3:$K$3,0)),"")</f>
        <v>2.5269740328563857</v>
      </c>
    </row>
    <row r="10" spans="1:11" x14ac:dyDescent="0.25">
      <c r="C10" t="str">
        <f>IFERROR(INDEX(Analysis_Low!$A$9:$K$9,1,MATCH(Calculation!B10,Analysis_Low!$A$3:$K$3,0)),"")</f>
        <v/>
      </c>
      <c r="D10" t="str">
        <f>IFERROR(INDEX(Analysis_Medium!$A$9:$K$9,1,MATCH(Calculation!B10,Analysis_Medium!$A$3:$K$3,0)),"")</f>
        <v/>
      </c>
      <c r="E10" t="str">
        <f>IFERROR(INDEX(Analysis_High!$A$9:$K$9,1,MATCH(Calculation!B10,Analysis_High!$A$3:$K$3,0)),"")</f>
        <v/>
      </c>
    </row>
    <row r="11" spans="1:11" x14ac:dyDescent="0.25">
      <c r="C11" t="str">
        <f>IFERROR(INDEX(Analysis_Low!$A$9:$K$9,1,MATCH(Calculation!B11,Analysis_Low!$A$3:$K$3,0)),"")</f>
        <v/>
      </c>
      <c r="D11" t="str">
        <f>IFERROR(INDEX(Analysis_Medium!$A$9:$K$9,1,MATCH(Calculation!B11,Analysis_Medium!$A$3:$K$3,0)),"")</f>
        <v/>
      </c>
      <c r="E11" t="str">
        <f>IFERROR(INDEX(Analysis_High!$A$9:$K$9,1,MATCH(Calculation!B11,Analysis_High!$A$3:$K$3,0)),"")</f>
        <v/>
      </c>
    </row>
    <row r="12" spans="1:11" x14ac:dyDescent="0.25">
      <c r="C12" t="str">
        <f>IFERROR(INDEX(Analysis_Low!$A$9:$K$9,1,MATCH(Calculation!B12,Analysis_Low!$A$3:$K$3,0)),"")</f>
        <v/>
      </c>
      <c r="D12" t="str">
        <f>IFERROR(INDEX(Analysis_Medium!$A$9:$K$9,1,MATCH(Calculation!B12,Analysis_Medium!$A$3:$K$3,0)),"")</f>
        <v/>
      </c>
      <c r="E12" t="str">
        <f>IFERROR(INDEX(Analysis_High!$A$9:$K$9,1,MATCH(Calculation!B12,Analysis_High!$A$3:$K$3,0)),"")</f>
        <v/>
      </c>
    </row>
    <row r="14" spans="1:11" x14ac:dyDescent="0.25">
      <c r="C14" s="16" t="s">
        <v>43</v>
      </c>
      <c r="D14" s="16" t="s">
        <v>44</v>
      </c>
      <c r="E14" s="16" t="s">
        <v>45</v>
      </c>
    </row>
    <row r="15" spans="1:11" x14ac:dyDescent="0.25">
      <c r="B15" s="15" t="s">
        <v>46</v>
      </c>
      <c r="C15" s="16" t="str">
        <f>INDEX($B$2:$C$12,MATCH(LARGE(C3:C12,1),$C$2:$C$12,0),1)</f>
        <v>Labelled Picture</v>
      </c>
      <c r="D15" s="16" t="str">
        <f>INDEX($B$2:$D$12,MATCH(LARGE(D3:D12,1),$D$2:$D$12,0),1)</f>
        <v>Gesture recognition / Object detection</v>
      </c>
      <c r="E15" s="16" t="str">
        <f>INDEX($B$2:$E$12,MATCH(LARGE(E3:E12,1),$E$2:$E$12,0),1)</f>
        <v>Computer animated (CAD)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Questionnaire</vt:lpstr>
      <vt:lpstr>Output</vt:lpstr>
      <vt:lpstr>High_Complexity</vt:lpstr>
      <vt:lpstr>Medium_Complexity</vt:lpstr>
      <vt:lpstr>Low_Complexity</vt:lpstr>
      <vt:lpstr>Analysis_Low</vt:lpstr>
      <vt:lpstr>Analysis_Medium</vt:lpstr>
      <vt:lpstr>Analysis_High</vt:lpstr>
      <vt:lpstr>Calculation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2022-12-16T10:14:39Z</dcterms:created>
  <dcterms:modified xsi:type="dcterms:W3CDTF">2023-06-03T10:05:01Z</dcterms:modified>
</cp:coreProperties>
</file>